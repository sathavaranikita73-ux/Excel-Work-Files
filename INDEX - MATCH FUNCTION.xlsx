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NIKITA\ADANI WORK FILES ALL\Excel\"/>
    </mc:Choice>
  </mc:AlternateContent>
  <xr:revisionPtr revIDLastSave="0" documentId="13_ncr:1_{F92BB745-78CA-453B-90D5-A8853251329A}" xr6:coauthVersionLast="47" xr6:coauthVersionMax="47" xr10:uidLastSave="{00000000-0000-0000-0000-000000000000}"/>
  <bookViews>
    <workbookView xWindow="-120" yWindow="-120" windowWidth="20730" windowHeight="11040" xr2:uid="{11A9C459-BEA6-4690-A7EC-C0D8ED4797F0}"/>
  </bookViews>
  <sheets>
    <sheet name="Products" sheetId="1" r:id="rId1"/>
    <sheet name="Customers" sheetId="2" r:id="rId2"/>
    <sheet name="Stores" sheetId="3" r:id="rId3"/>
    <sheet name="Sales" sheetId="4" r:id="rId4"/>
    <sheet name="Index-Match" sheetId="5" r:id="rId5"/>
    <sheet name="Task-20 invoice" sheetId="7" r:id="rId6"/>
    <sheet name="Advance table" sheetId="6" r:id="rId7"/>
  </sheets>
  <definedNames>
    <definedName name="_xlcn.WorksheetConnection_Book1Table11" hidden="1">Sales[]</definedName>
    <definedName name="_xlcn.WorksheetConnection_Book1Table21" hidden="1">store[]</definedName>
    <definedName name="_xlcn.WorksheetConnection_Book1Table31" hidden="1">customers[]</definedName>
    <definedName name="_xlcn.WorksheetConnection_Book1Table41" hidden="1">product[]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Sales" connection="WorksheetConnection_Book1!Table1"/>
          <x15:modelTable id="Table2" name="Stores" connection="WorksheetConnection_Book1!Table2"/>
          <x15:modelTable id="Table3" name="Customers" connection="WorksheetConnection_Book1!Table3"/>
          <x15:modelTable id="Table4" name="Products" connection="WorksheetConnection_Book1!Table4"/>
        </x15:modelTables>
        <x15:modelRelationships>
          <x15:modelRelationship fromTable="Sales" fromColumn="Product ID" toTable="Products" toColumn="Product id"/>
          <x15:modelRelationship fromTable="Sales" fromColumn="Customer ID" toTable="Customers" toColumn="Customer ID"/>
          <x15:modelRelationship fromTable="Stores" fromColumn="Store ID" toTable="Sales" toColumn="Sal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7" l="1"/>
  <c r="K23" i="7" s="1"/>
  <c r="J14" i="7"/>
  <c r="I14" i="7"/>
  <c r="H14" i="7"/>
  <c r="K10" i="7"/>
  <c r="K11" i="7" s="1"/>
  <c r="G14" i="7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I3" i="6"/>
  <c r="K8" i="7" s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M3" i="6"/>
  <c r="H9" i="7" s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L3" i="7"/>
  <c r="R3" i="7"/>
  <c r="Q3" i="7"/>
  <c r="P3" i="7"/>
  <c r="O3" i="7"/>
  <c r="H23" i="5"/>
  <c r="J23" i="5" s="1"/>
  <c r="K23" i="5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3" i="5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3" i="6"/>
  <c r="H10" i="7" s="1"/>
  <c r="H11" i="7" s="1"/>
  <c r="O4" i="6"/>
  <c r="I4" i="5" s="1"/>
  <c r="O5" i="6"/>
  <c r="I5" i="5" s="1"/>
  <c r="O6" i="6"/>
  <c r="I6" i="5" s="1"/>
  <c r="O7" i="6"/>
  <c r="I7" i="5" s="1"/>
  <c r="O8" i="6"/>
  <c r="I8" i="5" s="1"/>
  <c r="O9" i="6"/>
  <c r="I9" i="5" s="1"/>
  <c r="O10" i="6"/>
  <c r="I10" i="5" s="1"/>
  <c r="O11" i="6"/>
  <c r="I11" i="5" s="1"/>
  <c r="O12" i="6"/>
  <c r="I12" i="5" s="1"/>
  <c r="O13" i="6"/>
  <c r="I13" i="5" s="1"/>
  <c r="O14" i="6"/>
  <c r="I14" i="5" s="1"/>
  <c r="O15" i="6"/>
  <c r="I15" i="5" s="1"/>
  <c r="O16" i="6"/>
  <c r="I16" i="5" s="1"/>
  <c r="O17" i="6"/>
  <c r="I17" i="5" s="1"/>
  <c r="O3" i="6"/>
  <c r="I3" i="5" s="1"/>
  <c r="K4" i="6"/>
  <c r="G4" i="5" s="1"/>
  <c r="K17" i="6"/>
  <c r="G17" i="5" s="1"/>
  <c r="K16" i="6"/>
  <c r="G16" i="5" s="1"/>
  <c r="K15" i="6"/>
  <c r="G15" i="5" s="1"/>
  <c r="K14" i="6"/>
  <c r="G14" i="5" s="1"/>
  <c r="K13" i="6"/>
  <c r="G13" i="5" s="1"/>
  <c r="K12" i="6"/>
  <c r="G12" i="5" s="1"/>
  <c r="K11" i="6"/>
  <c r="G11" i="5" s="1"/>
  <c r="K9" i="6"/>
  <c r="G9" i="5" s="1"/>
  <c r="K7" i="6"/>
  <c r="G7" i="5" s="1"/>
  <c r="K5" i="6"/>
  <c r="G5" i="5" s="1"/>
  <c r="K6" i="6"/>
  <c r="G6" i="5" s="1"/>
  <c r="K8" i="6"/>
  <c r="G8" i="5" s="1"/>
  <c r="K10" i="6"/>
  <c r="G10" i="5" s="1"/>
  <c r="K3" i="6"/>
  <c r="G3" i="5" s="1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6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42" i="4"/>
  <c r="L33" i="4"/>
  <c r="L34" i="4"/>
  <c r="L35" i="4"/>
  <c r="L36" i="4"/>
  <c r="L32" i="4"/>
  <c r="K32" i="4" a="1"/>
  <c r="K32" i="4" s="1"/>
  <c r="L18" i="4"/>
  <c r="L19" i="4"/>
  <c r="L20" i="4"/>
  <c r="L21" i="4"/>
  <c r="L22" i="4"/>
  <c r="L23" i="4"/>
  <c r="L24" i="4"/>
  <c r="L25" i="4"/>
  <c r="L26" i="4"/>
  <c r="L17" i="4"/>
  <c r="L5" i="4"/>
  <c r="L6" i="4"/>
  <c r="L7" i="4"/>
  <c r="L8" i="4"/>
  <c r="L9" i="4"/>
  <c r="L10" i="4"/>
  <c r="L11" i="4"/>
  <c r="L12" i="4"/>
  <c r="L13" i="4"/>
  <c r="L4" i="4"/>
  <c r="K17" i="4" a="1"/>
  <c r="K17" i="4" s="1"/>
  <c r="K4" i="4" a="1"/>
  <c r="K4" i="4" s="1"/>
  <c r="H17" i="3"/>
  <c r="H11" i="3"/>
  <c r="H5" i="3"/>
  <c r="K23" i="2"/>
  <c r="K17" i="2"/>
  <c r="K11" i="2"/>
  <c r="K5" i="2"/>
  <c r="C18" i="1"/>
  <c r="K21" i="1"/>
  <c r="K15" i="1"/>
  <c r="K9" i="1"/>
  <c r="K4" i="1"/>
  <c r="J15" i="5" l="1"/>
  <c r="J3" i="5"/>
  <c r="J14" i="5"/>
  <c r="J10" i="5"/>
  <c r="J17" i="5"/>
  <c r="J9" i="5"/>
  <c r="J16" i="5"/>
  <c r="M3" i="7" s="1"/>
  <c r="J12" i="5"/>
  <c r="J8" i="5"/>
  <c r="J4" i="5"/>
  <c r="J6" i="5"/>
  <c r="J13" i="5"/>
  <c r="J5" i="5"/>
  <c r="J11" i="5"/>
  <c r="J7" i="5"/>
  <c r="I3" i="7"/>
  <c r="I23" i="5"/>
  <c r="L23" i="5"/>
  <c r="L4" i="6"/>
  <c r="H13" i="5" s="1"/>
  <c r="L16" i="6"/>
  <c r="L11" i="6"/>
  <c r="H11" i="5" s="1"/>
  <c r="L3" i="6"/>
  <c r="H15" i="5" s="1"/>
  <c r="L15" i="6"/>
  <c r="L10" i="6"/>
  <c r="H10" i="5" s="1"/>
  <c r="L7" i="6"/>
  <c r="H17" i="5" s="1"/>
  <c r="L12" i="6"/>
  <c r="H12" i="5" s="1"/>
  <c r="L14" i="6"/>
  <c r="L6" i="6"/>
  <c r="H6" i="5" s="1"/>
  <c r="L8" i="6"/>
  <c r="H8" i="5" s="1"/>
  <c r="L17" i="6"/>
  <c r="L13" i="6"/>
  <c r="L5" i="6"/>
  <c r="H5" i="5" s="1"/>
  <c r="L9" i="6"/>
  <c r="H9" i="5" s="1"/>
  <c r="N3" i="7" l="1"/>
  <c r="H16" i="5"/>
  <c r="H4" i="5"/>
  <c r="H14" i="5"/>
  <c r="H7" i="5"/>
  <c r="H3" i="5"/>
  <c r="J3" i="7"/>
  <c r="K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8E6F7-C5C0-45C0-B50F-9EF771036A0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965945C-6244-4B83-982D-26AF2E81E3FB}" name="WorksheetConnection_Book1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  <connection id="3" xr16:uid="{B8DD04EB-E5AE-4143-9D5E-047386BE2045}" name="WorksheetConnection_Book1!Table2" type="102" refreshedVersion="7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  <connection id="4" xr16:uid="{65740E25-809F-4E33-9372-C33C916A6689}" name="WorksheetConnection_Book1!Table3" type="102" refreshedVersion="7" minRefreshableVersion="5">
    <extLst>
      <ext xmlns:x15="http://schemas.microsoft.com/office/spreadsheetml/2010/11/main" uri="{DE250136-89BD-433C-8126-D09CA5730AF9}">
        <x15:connection id="Table3">
          <x15:rangePr sourceName="_xlcn.WorksheetConnection_Book1Table31"/>
        </x15:connection>
      </ext>
    </extLst>
  </connection>
  <connection id="5" xr16:uid="{F7A41277-0416-45AE-A21E-B53E10062067}" name="WorksheetConnection_Book1!Table4" type="102" refreshedVersion="7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<sst xmlns="http://schemas.openxmlformats.org/spreadsheetml/2006/main" count="578" uniqueCount="184">
  <si>
    <t>Product Name</t>
  </si>
  <si>
    <t>Category</t>
  </si>
  <si>
    <t>Brand</t>
  </si>
  <si>
    <t>Price</t>
  </si>
  <si>
    <t>Stock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</si>
  <si>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</si>
  <si>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</si>
  <si>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</si>
  <si>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</si>
  <si>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</si>
  <si>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</si>
  <si>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</si>
  <si>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</si>
  <si>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</si>
  <si>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</si>
  <si>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</si>
  <si>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</si>
  <si>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</si>
  <si>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</si>
  <si>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</si>
  <si>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</si>
  <si>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</si>
  <si>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</si>
  <si>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</si>
  <si>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</si>
  <si>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</si>
  <si>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Office Chair</t>
  </si>
  <si>
    <t>Furniture</t>
  </si>
  <si>
    <t>Green Soul</t>
  </si>
  <si>
    <t>P1008</t>
  </si>
  <si>
    <t>Office Desk</t>
  </si>
  <si>
    <t>IKEA</t>
  </si>
  <si>
    <t>P1009</t>
  </si>
  <si>
    <t>Monitor</t>
  </si>
  <si>
    <t>LG</t>
  </si>
  <si>
    <t>P1010</t>
  </si>
  <si>
    <t>Webcam</t>
  </si>
  <si>
    <t>Product id</t>
  </si>
  <si>
    <t>Customer Name</t>
  </si>
  <si>
    <t>City</t>
  </si>
  <si>
    <t>State</t>
  </si>
  <si>
    <t>Gender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</si>
  <si>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</si>
  <si>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</si>
  <si>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</si>
  <si>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</si>
  <si>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</si>
  <si>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</si>
  <si>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</si>
  <si>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</si>
  <si>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</si>
  <si>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</si>
  <si>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</si>
  <si>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</si>
  <si>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</si>
  <si>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</si>
  <si>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</si>
  <si>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</si>
  <si>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</si>
  <si>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</si>
  <si>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</si>
  <si>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</si>
  <si>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</si>
  <si>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</si>
  <si>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</si>
  <si>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</si>
  <si>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</si>
  <si>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</si>
  <si>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</si>
  <si>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</si>
  <si>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</si>
  <si>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</si>
  <si>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</si>
  <si>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</si>
  <si>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</si>
  <si>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</si>
  <si>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</si>
  <si>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</si>
  <si>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</si>
  <si>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</si>
  <si>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Customer ID</t>
  </si>
  <si>
    <t>Store ID</t>
  </si>
  <si>
    <t>Store Name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</si>
  <si>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</si>
  <si>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</si>
  <si>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</si>
  <si>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</si>
  <si>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</si>
  <si>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</si>
  <si>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</si>
  <si>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</si>
  <si>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</si>
  <si>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</si>
  <si>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</si>
  <si>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Product ID</t>
  </si>
  <si>
    <t>Quantity</t>
  </si>
  <si>
    <t>Date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</si>
  <si>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</si>
  <si>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</si>
  <si>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</si>
  <si>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</si>
  <si>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</si>
  <si>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</si>
  <si>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</si>
  <si>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</si>
  <si>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</si>
  <si>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</si>
  <si>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</si>
  <si>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</si>
  <si>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</si>
  <si>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</si>
  <si>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</si>
  <si>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Task-1</t>
  </si>
  <si>
    <r>
      <t>Find the </t>
    </r>
    <r>
      <rPr>
        <sz val="12"/>
        <color rgb="FF1F2328"/>
        <rFont val="Segoe UI"/>
        <family val="2"/>
      </rPr>
      <t>Product Name</t>
    </r>
    <r>
      <rPr>
        <sz val="12"/>
        <color rgb="FF1F2328"/>
        <rFont val="Segoe UI"/>
        <family val="2"/>
      </rPr>
      <t> for Product ID </t>
    </r>
    <r>
      <rPr>
        <sz val="12"/>
        <color rgb="FF1F2328"/>
        <rFont val="Segoe UI"/>
        <family val="2"/>
      </rPr>
      <t>P1006</t>
    </r>
    <r>
      <rPr>
        <sz val="12"/>
        <color rgb="FF1F2328"/>
        <rFont val="Segoe UI"/>
        <family val="2"/>
      </rPr>
      <t>.</t>
    </r>
  </si>
  <si>
    <t>Product name</t>
  </si>
  <si>
    <t>Task-2</t>
  </si>
  <si>
    <r>
      <t>Find the </t>
    </r>
    <r>
      <rPr>
        <sz val="12"/>
        <color rgb="FF1F2328"/>
        <rFont val="Segoe UI"/>
        <family val="2"/>
      </rPr>
      <t>Price</t>
    </r>
    <r>
      <rPr>
        <sz val="12"/>
        <color rgb="FF1F2328"/>
        <rFont val="Segoe UI"/>
        <family val="2"/>
      </rPr>
      <t> for Product ID </t>
    </r>
    <r>
      <rPr>
        <sz val="12"/>
        <color rgb="FF1F2328"/>
        <rFont val="Segoe UI"/>
        <family val="2"/>
      </rPr>
      <t>P1008</t>
    </r>
    <r>
      <rPr>
        <sz val="12"/>
        <color rgb="FF1F2328"/>
        <rFont val="Segoe UI"/>
        <family val="2"/>
      </rPr>
      <t>.</t>
    </r>
  </si>
  <si>
    <t>Task-3</t>
  </si>
  <si>
    <r>
      <t>Find the </t>
    </r>
    <r>
      <rPr>
        <sz val="12"/>
        <color rgb="FF1F2328"/>
        <rFont val="Segoe UI"/>
        <family val="2"/>
      </rPr>
      <t>Brand</t>
    </r>
    <r>
      <rPr>
        <sz val="12"/>
        <color rgb="FF1F2328"/>
        <rFont val="Segoe UI"/>
        <family val="2"/>
      </rPr>
      <t> for Product ID </t>
    </r>
    <r>
      <rPr>
        <sz val="12"/>
        <color rgb="FF1F2328"/>
        <rFont val="Segoe UI"/>
        <family val="2"/>
      </rPr>
      <t>P1003</t>
    </r>
    <r>
      <rPr>
        <sz val="12"/>
        <color rgb="FF1F2328"/>
        <rFont val="Segoe UI"/>
        <family val="2"/>
      </rPr>
      <t>.</t>
    </r>
  </si>
  <si>
    <t>Task-4</t>
  </si>
  <si>
    <r>
      <t>Find the </t>
    </r>
    <r>
      <rPr>
        <sz val="12"/>
        <color rgb="FF1F2328"/>
        <rFont val="Segoe UI"/>
        <family val="2"/>
      </rPr>
      <t>Stock</t>
    </r>
    <r>
      <rPr>
        <sz val="12"/>
        <color rgb="FF1F2328"/>
        <rFont val="Segoe UI"/>
        <family val="2"/>
      </rPr>
      <t> for Product ID </t>
    </r>
    <r>
      <rPr>
        <sz val="12"/>
        <color rgb="FF1F2328"/>
        <rFont val="Segoe UI"/>
        <family val="2"/>
      </rPr>
      <t>P1005</t>
    </r>
    <r>
      <rPr>
        <sz val="12"/>
        <color rgb="FF1F2328"/>
        <rFont val="Segoe UI"/>
        <family val="2"/>
      </rPr>
      <t>.</t>
    </r>
  </si>
  <si>
    <r>
      <t>Find the </t>
    </r>
    <r>
      <rPr>
        <sz val="12"/>
        <color rgb="FF1F2328"/>
        <rFont val="Segoe UI"/>
        <family val="2"/>
      </rPr>
      <t>Category</t>
    </r>
    <r>
      <rPr>
        <sz val="12"/>
        <color rgb="FF1F2328"/>
        <rFont val="Segoe UI"/>
        <family val="2"/>
      </rPr>
      <t> for Product ID </t>
    </r>
    <r>
      <rPr>
        <sz val="12"/>
        <color rgb="FF1F2328"/>
        <rFont val="Segoe UI"/>
        <family val="2"/>
      </rPr>
      <t>P1004</t>
    </r>
    <r>
      <rPr>
        <sz val="12"/>
        <color rgb="FF1F2328"/>
        <rFont val="Segoe UI"/>
        <family val="2"/>
      </rPr>
      <t>.</t>
    </r>
  </si>
  <si>
    <t>Task-5</t>
  </si>
  <si>
    <r>
      <t>Find the Customer Name for </t>
    </r>
    <r>
      <rPr>
        <sz val="12"/>
        <color rgb="FF1F2328"/>
        <rFont val="Segoe UI"/>
        <family val="2"/>
      </rPr>
      <t>C007</t>
    </r>
    <r>
      <rPr>
        <sz val="12"/>
        <color rgb="FF1F2328"/>
        <rFont val="Segoe UI"/>
        <family val="2"/>
      </rPr>
      <t>.</t>
    </r>
  </si>
  <si>
    <t>Task-6</t>
  </si>
  <si>
    <t>Customer id</t>
  </si>
  <si>
    <t>Customer name</t>
  </si>
  <si>
    <t>Task-7</t>
  </si>
  <si>
    <r>
      <t>Find the City for </t>
    </r>
    <r>
      <rPr>
        <sz val="12"/>
        <color rgb="FF1F2328"/>
        <rFont val="Segoe UI"/>
        <family val="2"/>
      </rPr>
      <t>C010</t>
    </r>
    <r>
      <rPr>
        <sz val="12"/>
        <color rgb="FF1F2328"/>
        <rFont val="Segoe UI"/>
        <family val="2"/>
      </rPr>
      <t>.</t>
    </r>
  </si>
  <si>
    <t>Task-8</t>
  </si>
  <si>
    <r>
      <t>Find the State for </t>
    </r>
    <r>
      <rPr>
        <sz val="12"/>
        <color rgb="FF1F2328"/>
        <rFont val="Segoe UI"/>
        <family val="2"/>
      </rPr>
      <t>C003</t>
    </r>
    <r>
      <rPr>
        <sz val="12"/>
        <color rgb="FF1F2328"/>
        <rFont val="Segoe UI"/>
        <family val="2"/>
      </rPr>
      <t>.</t>
    </r>
  </si>
  <si>
    <r>
      <t>Find the Gender for </t>
    </r>
    <r>
      <rPr>
        <sz val="12"/>
        <color rgb="FF1F2328"/>
        <rFont val="Segoe UI"/>
        <family val="2"/>
      </rPr>
      <t>C006</t>
    </r>
    <r>
      <rPr>
        <sz val="12"/>
        <color rgb="FF1F2328"/>
        <rFont val="Segoe UI"/>
        <family val="2"/>
      </rPr>
      <t>.</t>
    </r>
  </si>
  <si>
    <t>Task-9</t>
  </si>
  <si>
    <r>
      <t>Find the Store Name for </t>
    </r>
    <r>
      <rPr>
        <sz val="12"/>
        <color rgb="FF1F2328"/>
        <rFont val="Segoe UI"/>
        <family val="2"/>
      </rPr>
      <t>S003</t>
    </r>
    <r>
      <rPr>
        <sz val="12"/>
        <color rgb="FF1F2328"/>
        <rFont val="Segoe UI"/>
        <family val="2"/>
      </rPr>
      <t>.</t>
    </r>
  </si>
  <si>
    <t>Task-10</t>
  </si>
  <si>
    <t>Store id</t>
  </si>
  <si>
    <t>Store name</t>
  </si>
  <si>
    <t>Task-11</t>
  </si>
  <si>
    <r>
      <t>Find the Store City for </t>
    </r>
    <r>
      <rPr>
        <sz val="12"/>
        <color rgb="FF1F2328"/>
        <rFont val="Segoe UI"/>
        <family val="2"/>
      </rPr>
      <t>S005</t>
    </r>
    <r>
      <rPr>
        <sz val="12"/>
        <color rgb="FF1F2328"/>
        <rFont val="Segoe UI"/>
        <family val="2"/>
      </rPr>
      <t>.</t>
    </r>
  </si>
  <si>
    <r>
      <t>Find the Store State for </t>
    </r>
    <r>
      <rPr>
        <sz val="12"/>
        <color rgb="FF1F2328"/>
        <rFont val="Segoe UI"/>
        <family val="2"/>
      </rPr>
      <t>S002</t>
    </r>
    <r>
      <rPr>
        <sz val="12"/>
        <color rgb="FF1F2328"/>
        <rFont val="Segoe UI"/>
        <family val="2"/>
      </rPr>
      <t>.</t>
    </r>
  </si>
  <si>
    <t>Task-12</t>
  </si>
  <si>
    <t>Retrieve the Product Name for every Product ID in the Sales sheet</t>
  </si>
  <si>
    <t>Task-13</t>
  </si>
  <si>
    <t>Task-14</t>
  </si>
  <si>
    <t>Retrieve the Customer Name for every Customer ID in the Sales sheet.</t>
  </si>
  <si>
    <t>Retrieve the Store Name for every Store ID in the Sales sheet.</t>
  </si>
  <si>
    <t>Task-15</t>
  </si>
  <si>
    <t>Retrieve the Product Price for every Product ID in the Sales sheet.</t>
  </si>
  <si>
    <t>Task-16</t>
  </si>
  <si>
    <t>Product price</t>
  </si>
  <si>
    <r>
      <t>Create a </t>
    </r>
    <r>
      <rPr>
        <sz val="12"/>
        <color rgb="FF1F2328"/>
        <rFont val="Segoe UI"/>
        <family val="2"/>
      </rPr>
      <t>Total Sales</t>
    </r>
    <r>
      <rPr>
        <sz val="12"/>
        <color rgb="FF1F2328"/>
        <rFont val="Segoe UI"/>
        <family val="2"/>
      </rPr>
      <t> column.</t>
    </r>
  </si>
  <si>
    <t>Task-17</t>
  </si>
  <si>
    <t>Total sale</t>
  </si>
  <si>
    <t>Create a report with:</t>
  </si>
  <si>
    <t>Total Sales</t>
  </si>
  <si>
    <t>Task-18</t>
  </si>
  <si>
    <t>Qty</t>
  </si>
  <si>
    <t>Task-19</t>
  </si>
  <si>
    <t>Create a Dynamic Product Search.</t>
  </si>
  <si>
    <t>Input: Product ID</t>
  </si>
  <si>
    <t>Output: - Product Name - Category - Brand - Price - Stock</t>
  </si>
  <si>
    <t>Task-20</t>
  </si>
  <si>
    <t>Create a Transaction Dashboard.</t>
  </si>
  <si>
    <t>Input: Sale ID</t>
  </si>
  <si>
    <t>Display: - Product Name - Category - Brand - Customer Name - Customer City - Store Name - Store City - Quantity - Product Price - Total Sales - Date</t>
  </si>
  <si>
    <t>store name</t>
  </si>
  <si>
    <t>customer city</t>
  </si>
  <si>
    <t>Store city</t>
  </si>
  <si>
    <t>qty</t>
  </si>
  <si>
    <t>Transaction Dashboard</t>
  </si>
  <si>
    <t>Customer Name :</t>
  </si>
  <si>
    <t>Sale id :</t>
  </si>
  <si>
    <t>Brand :</t>
  </si>
  <si>
    <t>Store name :</t>
  </si>
  <si>
    <t>Store City :</t>
  </si>
  <si>
    <t>Customer City :</t>
  </si>
  <si>
    <t>Product Price</t>
  </si>
  <si>
    <t>Total Amount</t>
  </si>
  <si>
    <t>Total :</t>
  </si>
  <si>
    <t>Date :</t>
  </si>
  <si>
    <t>Customer city</t>
  </si>
  <si>
    <t>Customer State</t>
  </si>
  <si>
    <t>Customer Gender</t>
  </si>
  <si>
    <t>Store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</si>
</sst>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b/>
      <sz val="14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3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2" fillId="5" borderId="4" xfId="0" applyFont="1" applyFill="1" applyBorder="1"/>
    <xf numFmtId="0" fontId="2" fillId="5" borderId="5" xfId="0" applyFont="1" applyFill="1" applyBorder="1"/>
    <xf numFmtId="0" fontId="0" fillId="6" borderId="0" xfId="0" applyFont="1" applyFill="1"/>
    <xf numFmtId="0" fontId="0" fillId="6" borderId="0" xfId="0" applyFill="1"/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4" borderId="0" xfId="0" applyFill="1" applyBorder="1"/>
    <xf numFmtId="0" fontId="0" fillId="4" borderId="6" xfId="0" applyFill="1" applyBorder="1"/>
    <xf numFmtId="0" fontId="0" fillId="4" borderId="14" xfId="0" applyFill="1" applyBorder="1"/>
    <xf numFmtId="0" fontId="2" fillId="4" borderId="13" xfId="0" applyFont="1" applyFill="1" applyBorder="1"/>
    <xf numFmtId="0" fontId="2" fillId="4" borderId="15" xfId="0" applyFont="1" applyFill="1" applyBorder="1"/>
    <xf numFmtId="0" fontId="2" fillId="4" borderId="6" xfId="0" applyFont="1" applyFill="1" applyBorder="1" applyAlignment="1">
      <alignment horizontal="right"/>
    </xf>
    <xf numFmtId="0" fontId="2" fillId="4" borderId="0" xfId="0" applyFont="1" applyFill="1" applyBorder="1"/>
    <xf numFmtId="164" fontId="0" fillId="0" borderId="0" xfId="0" applyNumberFormat="1"/>
    <xf numFmtId="164" fontId="5" fillId="4" borderId="14" xfId="0" applyNumberFormat="1" applyFont="1" applyFill="1" applyBorder="1"/>
    <xf numFmtId="0" fontId="5" fillId="4" borderId="6" xfId="0" applyFont="1" applyFill="1" applyBorder="1"/>
    <xf numFmtId="0" fontId="5" fillId="4" borderId="0" xfId="0" applyFont="1" applyFill="1" applyBorder="1"/>
    <xf numFmtId="0" fontId="5" fillId="4" borderId="14" xfId="0" applyFont="1" applyFill="1" applyBorder="1"/>
    <xf numFmtId="0" fontId="2" fillId="4" borderId="1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D4876F-45F4-42CE-B779-13E7730BB0EE}" name="product" displayName="product" ref="A1:F11" totalsRowShown="0">
  <autoFilter ref="A1:F11" xr:uid="{25D4876F-45F4-42CE-B779-13E7730BB0EE}"/>
  <tableColumns count="6">
    <tableColumn id="1" xr3:uid="{35964F6B-0CC1-4A83-AC02-B92DF55E8D72}" name="Product id"/>
    <tableColumn id="2" xr3:uid="{58EC8B70-4E49-493F-B498-AED8DC642608}" name="Product Name"/>
    <tableColumn id="3" xr3:uid="{C3AA4904-B234-4F48-B517-2803E64D8F71}" name="Category"/>
    <tableColumn id="4" xr3:uid="{79337714-42A3-4FC3-851F-0135DE6DBD66}" name="Brand"/>
    <tableColumn id="5" xr3:uid="{C04B2BDC-3FBF-4DB9-A1DC-5DF51FB92A75}" name="Price"/>
    <tableColumn id="6" xr3:uid="{371F881F-8C08-41CD-81DE-ABFB87292107}" name="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053BD2-B781-4FD6-9F0E-0DB370FBDAC7}" name="customers" displayName="customers" ref="A1:E11" totalsRowShown="0">
  <autoFilter ref="A1:E11" xr:uid="{A2053BD2-B781-4FD6-9F0E-0DB370FBDAC7}"/>
  <tableColumns count="5">
    <tableColumn id="1" xr3:uid="{1905DD62-540B-4F7B-9821-DD0289106768}" name="Customer ID"/>
    <tableColumn id="2" xr3:uid="{9B828301-C4BE-47EB-9A38-B7B27DF5DFAA}" name="Customer Name"/>
    <tableColumn id="3" xr3:uid="{E9F26524-79A8-4D59-A6A8-F4A77136CD11}" name="City"/>
    <tableColumn id="4" xr3:uid="{6DC26994-EB7E-4AFA-8940-844C74F7BC93}" name="State"/>
    <tableColumn id="5" xr3:uid="{E6DEDB6D-AFF6-4B6B-9126-1D2FC9B13EB5}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BF8C9-AFE6-4447-B7D6-AD0F9ACCB4AD}" name="store" displayName="store" ref="A1:D6" totalsRowShown="0">
  <autoFilter ref="A1:D6" xr:uid="{5A1BF8C9-AFE6-4447-B7D6-AD0F9ACCB4AD}"/>
  <tableColumns count="4">
    <tableColumn id="1" xr3:uid="{771FE98B-2E73-4277-9014-92CBDCF0FCBE}" name="Store ID"/>
    <tableColumn id="2" xr3:uid="{17600761-11A1-4F19-905D-D9B6BA68FBBB}" name="Store Name"/>
    <tableColumn id="3" xr3:uid="{64F40710-944E-4C07-BCA5-1312103AB319}" name="City"/>
    <tableColumn id="4" xr3:uid="{C715F4C5-AC60-4F0A-A77C-72AA7EDCE02C}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B4835-310A-4703-90A8-E6B831C42D43}" name="Sales" displayName="Sales" ref="A1:F16" totalsRowShown="0">
  <autoFilter ref="A1:F16" xr:uid="{549B4835-310A-4703-90A8-E6B831C42D43}"/>
  <tableColumns count="6">
    <tableColumn id="1" xr3:uid="{1AAC1221-501D-4F50-B69B-425350731191}" name="Sale ID"/>
    <tableColumn id="2" xr3:uid="{99D08854-CB32-467F-9B07-FEF177EA9F7A}" name="Product ID"/>
    <tableColumn id="3" xr3:uid="{7528D431-BFB3-4CD6-A937-D5354FA15E1D}" name="Customer ID"/>
    <tableColumn id="4" xr3:uid="{9193722F-DAAC-4DD3-AF03-97152B8F5DCA}" name="Quantity"/>
    <tableColumn id="5" xr3:uid="{7832CEE3-7AEE-417F-9450-FD84FAA8D25C}" name="Date" dataDxfId="6"/>
    <tableColumn id="6" xr3:uid="{F11BC711-A8F7-493A-AE54-80EE2FA65618}" name="Store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B2494C-96F6-46BC-AFAB-5ABF11C8407E}" name="Table7" displayName="Table7" ref="H2:X17" totalsRowShown="0">
  <autoFilter ref="H2:X17" xr:uid="{89B2494C-96F6-46BC-AFAB-5ABF11C8407E}"/>
  <tableColumns count="17">
    <tableColumn id="1" xr3:uid="{81D94585-BAE5-49B0-A1C4-5A9510A560B4}" name="Sale ID"/>
    <tableColumn id="16" xr3:uid="{3B838DFF-18F7-4405-8366-9209BB3C2001}" name="Date" dataDxfId="5">
      <calculatedColumnFormula>INDEX(Sales[Date],MATCH(Table7[[#This Row],[Sale ID]],Sales[Sale ID],0))</calculatedColumnFormula>
    </tableColumn>
    <tableColumn id="2" xr3:uid="{B149D970-BC80-4F96-8257-B034B937AFBC}" name="Product ID"/>
    <tableColumn id="3" xr3:uid="{8C166A6A-31DA-4F42-88C6-5C7FF59B151B}" name="Product Name"/>
    <tableColumn id="4" xr3:uid="{EED7B62A-15F8-4D52-B614-E91896D37627}" name="Category">
      <calculatedColumnFormula>INDEX($D$3:$D$12,MATCH(K3,$C$3:$C$12,0))</calculatedColumnFormula>
    </tableColumn>
    <tableColumn id="12" xr3:uid="{A4AD9B91-0EC8-4853-9BC4-B2C02B2FA434}" name="Brand" dataDxfId="4">
      <calculatedColumnFormula>INDEX($E$3:$E$12,MATCH(Table7[[#This Row],[Product ID]],$B$3:$B$12,0))</calculatedColumnFormula>
    </tableColumn>
    <tableColumn id="5" xr3:uid="{7EA6CB8F-F246-4837-B40C-93F88892E659}" name="Customer ID"/>
    <tableColumn id="6" xr3:uid="{DE807886-195E-4559-AD01-3FEC222166CE}" name="Customer Name">
      <calculatedColumnFormula>INDEX($B$17:$B$26,MATCH(N3,$A$17:$A$26,0))</calculatedColumnFormula>
    </tableColumn>
    <tableColumn id="15" xr3:uid="{DEA59923-A5DD-4454-AF91-F394840BE3E2}" name="Customer city" dataDxfId="3">
      <calculatedColumnFormula>INDEX($C$17:$C$26,MATCH(Table7[[#This Row],[Customer ID]],$A$17:$A$26,0))</calculatedColumnFormula>
    </tableColumn>
    <tableColumn id="14" xr3:uid="{90AED27C-A5F3-46A1-866E-BB6FD8AAEAA0}" name="Customer State" dataDxfId="2">
      <calculatedColumnFormula>INDEX($D$17:$D$26,MATCH(Table7[[#This Row],[Customer ID]],$A$17:$A$26,0))</calculatedColumnFormula>
    </tableColumn>
    <tableColumn id="13" xr3:uid="{D13D8E6B-BA82-439D-AC53-F9FA559C069C}" name="Customer Gender" dataDxfId="1">
      <calculatedColumnFormula>INDEX($E$17:$E$26,MATCH(Table7[[#This Row],[Customer ID]],$A$17:$A$26,0))</calculatedColumnFormula>
    </tableColumn>
    <tableColumn id="7" xr3:uid="{43FE0EE0-ABEB-46DA-B7AC-10F1A771F684}" name="Store ID"/>
    <tableColumn id="8" xr3:uid="{4A29450B-7520-4D4A-9883-E7DD1F0ADF29}" name="Store name">
      <calculatedColumnFormula>INDEX($B$30:$B$34,MATCH(S3,$A$30:$A$34,0))</calculatedColumnFormula>
    </tableColumn>
    <tableColumn id="17" xr3:uid="{B09E495C-FC45-4331-BB1A-FD28DE659870}" name="Store City" dataDxfId="0">
      <calculatedColumnFormula>INDEX($C$30:$C$34,MATCH(Table7[[#This Row],[Store ID]],'Advance table'!$A$30:$A$34,0))</calculatedColumnFormula>
    </tableColumn>
    <tableColumn id="9" xr3:uid="{CCA5D855-750B-454A-9075-91D5F57F8925}" name="Quantity"/>
    <tableColumn id="10" xr3:uid="{02010FE6-4A85-4DE9-B123-EB4C910416B2}" name="Product price"/>
    <tableColumn id="11" xr3:uid="{1DCCBE52-5457-4601-90B0-7C5C35730C3A}" name="Total sale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E058-2745-4DE5-B1A2-B5DED8A07809}">
  <dimension ref="A1:O21"/>
  <sheetViews>
    <sheetView tabSelected="1" workbookViewId="0">
      <selection activeCell="P21" sqref="P21"/>
    </sheetView>
  </sheetViews>
  <sheetFormatPr defaultRowHeight="15" x14ac:dyDescent="0.25"/>
  <cols>
    <col min="1" max="1" width="12.140625" customWidth="1"/>
    <col min="2" max="2" width="15.7109375" customWidth="1"/>
    <col min="3" max="3" width="11.28515625" bestFit="1" customWidth="1"/>
    <col min="4" max="4" width="10.7109375" bestFit="1" customWidth="1"/>
    <col min="5" max="5" width="9.28515625" customWidth="1"/>
    <col min="10" max="10" width="10" bestFit="1" customWidth="1"/>
    <col min="11" max="11" width="13.42578125" bestFit="1" customWidth="1"/>
  </cols>
  <sheetData>
    <row r="1" spans="1:15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5" ht="17.25" x14ac:dyDescent="0.3">
      <c r="A2" t="s">
        <v>5</v>
      </c>
      <c r="B2" t="s">
        <v>6</v>
      </c>
      <c r="C2" t="s">
        <v>7</v>
      </c>
      <c r="D2" t="s">
        <v>8</v>
      </c>
      <c r="E2">
        <v>55000</v>
      </c>
      <c r="F2">
        <v>25</v>
      </c>
      <c r="H2" t="s">
        <v>112</v>
      </c>
      <c r="I2" s="50" t="s">
        <v>113</v>
      </c>
      <c r="J2" s="50"/>
      <c r="K2" s="50"/>
      <c r="L2" s="50"/>
      <c r="M2" s="50"/>
      <c r="N2" s="50"/>
      <c r="O2" s="50"/>
    </row>
    <row r="3" spans="1:15" x14ac:dyDescent="0.25">
      <c r="A3" t="s">
        <v>9</v>
      </c>
      <c r="B3" t="s">
        <v>10</v>
      </c>
      <c r="C3" t="s">
        <v>7</v>
      </c>
      <c r="D3" t="s">
        <v>11</v>
      </c>
      <c r="E3">
        <v>32000</v>
      </c>
      <c r="F3">
        <v>40</v>
      </c>
      <c r="J3" s="9" t="s">
        <v>37</v>
      </c>
      <c r="K3" s="9" t="s">
        <v>114</v>
      </c>
    </row>
    <row r="4" spans="1:15" x14ac:dyDescent="0.25">
      <c r="A4" t="s">
        <v>12</v>
      </c>
      <c r="B4" t="s">
        <v>13</v>
      </c>
      <c r="C4" t="s">
        <v>7</v>
      </c>
      <c r="D4" t="s">
        <v>14</v>
      </c>
      <c r="E4">
        <v>4500</v>
      </c>
      <c r="F4">
        <v>80</v>
      </c>
      <c r="J4" s="10" t="s">
        <v>22</v>
      </c>
      <c r="K4" s="9" t="str">
        <f>INDEX(product[Product Name],MATCH(J4,product[Product id],0))</f>
        <v>Printer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1800</v>
      </c>
      <c r="F5">
        <v>65</v>
      </c>
    </row>
    <row r="6" spans="1:15" ht="17.25" x14ac:dyDescent="0.3">
      <c r="A6" t="s">
        <v>19</v>
      </c>
      <c r="B6" t="s">
        <v>20</v>
      </c>
      <c r="C6" t="s">
        <v>17</v>
      </c>
      <c r="D6" t="s">
        <v>21</v>
      </c>
      <c r="E6">
        <v>900</v>
      </c>
      <c r="F6">
        <v>120</v>
      </c>
      <c r="H6" t="s">
        <v>115</v>
      </c>
      <c r="I6" s="50" t="s">
        <v>116</v>
      </c>
      <c r="J6" s="50"/>
      <c r="K6" s="50"/>
      <c r="L6" s="50"/>
      <c r="M6" s="50"/>
      <c r="N6" s="50"/>
    </row>
    <row r="7" spans="1:15" x14ac:dyDescent="0.25">
      <c r="A7" t="s">
        <v>22</v>
      </c>
      <c r="B7" t="s">
        <v>23</v>
      </c>
      <c r="C7" t="s">
        <v>7</v>
      </c>
      <c r="D7" t="s">
        <v>24</v>
      </c>
      <c r="E7">
        <v>12500</v>
      </c>
      <c r="F7">
        <v>18</v>
      </c>
    </row>
    <row r="8" spans="1:15" x14ac:dyDescent="0.25">
      <c r="A8" t="s">
        <v>25</v>
      </c>
      <c r="B8" t="s">
        <v>26</v>
      </c>
      <c r="C8" t="s">
        <v>27</v>
      </c>
      <c r="D8" t="s">
        <v>28</v>
      </c>
      <c r="E8">
        <v>8500</v>
      </c>
      <c r="F8">
        <v>20</v>
      </c>
      <c r="J8" s="9" t="s">
        <v>37</v>
      </c>
      <c r="K8" s="9" t="s">
        <v>3</v>
      </c>
    </row>
    <row r="9" spans="1:15" x14ac:dyDescent="0.25">
      <c r="A9" t="s">
        <v>29</v>
      </c>
      <c r="B9" t="s">
        <v>30</v>
      </c>
      <c r="C9" t="s">
        <v>27</v>
      </c>
      <c r="D9" t="s">
        <v>31</v>
      </c>
      <c r="E9">
        <v>12000</v>
      </c>
      <c r="F9">
        <v>15</v>
      </c>
      <c r="J9" s="10" t="s">
        <v>29</v>
      </c>
      <c r="K9" s="9">
        <f>INDEX(product[Price],MATCH(J9,product[Product id],0))</f>
        <v>12000</v>
      </c>
    </row>
    <row r="10" spans="1:15" x14ac:dyDescent="0.25">
      <c r="A10" t="s">
        <v>32</v>
      </c>
      <c r="B10" t="s">
        <v>33</v>
      </c>
      <c r="C10" t="s">
        <v>7</v>
      </c>
      <c r="D10" t="s">
        <v>34</v>
      </c>
      <c r="E10">
        <v>16000</v>
      </c>
      <c r="F10">
        <v>30</v>
      </c>
    </row>
    <row r="11" spans="1:15" x14ac:dyDescent="0.25">
      <c r="A11" t="s">
        <v>35</v>
      </c>
      <c r="B11" t="s">
        <v>36</v>
      </c>
      <c r="C11" t="s">
        <v>17</v>
      </c>
      <c r="D11" t="s">
        <v>18</v>
      </c>
      <c r="E11">
        <v>3500</v>
      </c>
      <c r="F11">
        <v>50</v>
      </c>
    </row>
    <row r="12" spans="1:15" ht="17.25" x14ac:dyDescent="0.3">
      <c r="H12" t="s">
        <v>117</v>
      </c>
      <c r="I12" s="50" t="s">
        <v>118</v>
      </c>
      <c r="J12" s="50"/>
      <c r="K12" s="50"/>
      <c r="L12" s="50"/>
      <c r="M12" s="50"/>
      <c r="N12" s="50"/>
    </row>
    <row r="14" spans="1:15" x14ac:dyDescent="0.25">
      <c r="J14" s="9" t="s">
        <v>37</v>
      </c>
      <c r="K14" s="9" t="s">
        <v>2</v>
      </c>
    </row>
    <row r="15" spans="1:15" ht="17.25" x14ac:dyDescent="0.3">
      <c r="A15" t="s">
        <v>122</v>
      </c>
      <c r="B15" s="50" t="s">
        <v>121</v>
      </c>
      <c r="C15" s="50"/>
      <c r="D15" s="50"/>
      <c r="E15" s="50"/>
      <c r="J15" s="10" t="s">
        <v>12</v>
      </c>
      <c r="K15" s="9" t="str">
        <f>INDEX(product[Brand],MATCH(J15,product[Product id],0))</f>
        <v>Sony</v>
      </c>
    </row>
    <row r="17" spans="2:13" x14ac:dyDescent="0.25">
      <c r="B17" s="9" t="s">
        <v>37</v>
      </c>
      <c r="C17" s="9" t="s">
        <v>1</v>
      </c>
    </row>
    <row r="18" spans="2:13" ht="17.25" x14ac:dyDescent="0.3">
      <c r="B18" s="10" t="s">
        <v>15</v>
      </c>
      <c r="C18" s="9" t="str">
        <f>INDEX(product[Category],MATCH(B18,product[Product id],0))</f>
        <v>Accessories</v>
      </c>
      <c r="H18" t="s">
        <v>119</v>
      </c>
      <c r="I18" s="50" t="s">
        <v>120</v>
      </c>
      <c r="J18" s="50"/>
      <c r="K18" s="50"/>
      <c r="L18" s="50"/>
      <c r="M18" s="50"/>
    </row>
    <row r="20" spans="2:13" x14ac:dyDescent="0.25">
      <c r="J20" s="9" t="s">
        <v>37</v>
      </c>
      <c r="K20" s="9" t="s">
        <v>4</v>
      </c>
    </row>
    <row r="21" spans="2:13" x14ac:dyDescent="0.25">
      <c r="J21" s="10" t="s">
        <v>19</v>
      </c>
      <c r="K21" s="9">
        <f>INDEX(product[Stock],MATCH(J21,product[Product id],0))</f>
        <v>120</v>
      </c>
    </row>
  </sheetData>
  <mergeCells count="5">
    <mergeCell ref="I2:O2"/>
    <mergeCell ref="I6:N6"/>
    <mergeCell ref="I12:N12"/>
    <mergeCell ref="I18:M18"/>
    <mergeCell ref="B15:E1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7D4C-F706-4EEB-B0E9-F903C8C112D5}">
  <dimension ref="A1:M23"/>
  <sheetViews>
    <sheetView workbookViewId="0">
      <selection activeCell="D16" sqref="D16"/>
    </sheetView>
  </sheetViews>
  <sheetFormatPr defaultRowHeight="15" x14ac:dyDescent="0.25"/>
  <cols>
    <col min="1" max="1" width="14" customWidth="1"/>
    <col min="2" max="2" width="17.42578125" customWidth="1"/>
    <col min="5" max="5" width="9.85546875" customWidth="1"/>
    <col min="10" max="10" width="11.7109375" bestFit="1" customWidth="1"/>
    <col min="11" max="11" width="15.140625" bestFit="1" customWidth="1"/>
  </cols>
  <sheetData>
    <row r="1" spans="1:13" x14ac:dyDescent="0.25">
      <c r="A1" t="s">
        <v>80</v>
      </c>
      <c r="B1" t="s">
        <v>38</v>
      </c>
      <c r="C1" t="s">
        <v>39</v>
      </c>
      <c r="D1" t="s">
        <v>40</v>
      </c>
      <c r="E1" t="s">
        <v>41</v>
      </c>
    </row>
    <row r="2" spans="1:13" ht="17.25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H2" t="s">
        <v>124</v>
      </c>
      <c r="I2" s="50" t="s">
        <v>123</v>
      </c>
      <c r="J2" s="50"/>
      <c r="K2" s="50"/>
      <c r="L2" s="50"/>
      <c r="M2" s="50"/>
    </row>
    <row r="3" spans="1:13" x14ac:dyDescent="0.25">
      <c r="A3" t="s">
        <v>47</v>
      </c>
      <c r="B3" t="s">
        <v>48</v>
      </c>
      <c r="C3" t="s">
        <v>49</v>
      </c>
      <c r="D3" t="s">
        <v>45</v>
      </c>
      <c r="E3" t="s">
        <v>50</v>
      </c>
    </row>
    <row r="4" spans="1:13" x14ac:dyDescent="0.25">
      <c r="A4" t="s">
        <v>51</v>
      </c>
      <c r="B4" t="s">
        <v>52</v>
      </c>
      <c r="C4" t="s">
        <v>53</v>
      </c>
      <c r="D4" t="s">
        <v>54</v>
      </c>
      <c r="E4" t="s">
        <v>46</v>
      </c>
      <c r="J4" s="9" t="s">
        <v>125</v>
      </c>
      <c r="K4" s="9" t="s">
        <v>126</v>
      </c>
    </row>
    <row r="5" spans="1:13" x14ac:dyDescent="0.25">
      <c r="A5" t="s">
        <v>55</v>
      </c>
      <c r="B5" t="s">
        <v>56</v>
      </c>
      <c r="C5" t="s">
        <v>57</v>
      </c>
      <c r="D5" t="s">
        <v>54</v>
      </c>
      <c r="E5" t="s">
        <v>50</v>
      </c>
      <c r="J5" s="9" t="s">
        <v>65</v>
      </c>
      <c r="K5" s="9" t="str">
        <f>INDEX(customers[Customer Name],MATCH(J5,customers[Customer ID],0))</f>
        <v>Rohan Gupta</v>
      </c>
    </row>
    <row r="6" spans="1:13" x14ac:dyDescent="0.25">
      <c r="A6" t="s">
        <v>58</v>
      </c>
      <c r="B6" t="s">
        <v>59</v>
      </c>
      <c r="C6" t="s">
        <v>60</v>
      </c>
      <c r="D6" t="s">
        <v>61</v>
      </c>
      <c r="E6" t="s">
        <v>46</v>
      </c>
    </row>
    <row r="7" spans="1:13" x14ac:dyDescent="0.25">
      <c r="A7" t="s">
        <v>62</v>
      </c>
      <c r="B7" t="s">
        <v>63</v>
      </c>
      <c r="C7" t="s">
        <v>64</v>
      </c>
      <c r="D7" t="s">
        <v>64</v>
      </c>
      <c r="E7" t="s">
        <v>50</v>
      </c>
    </row>
    <row r="8" spans="1:13" ht="17.25" x14ac:dyDescent="0.3">
      <c r="A8" t="s">
        <v>65</v>
      </c>
      <c r="B8" t="s">
        <v>66</v>
      </c>
      <c r="C8" t="s">
        <v>67</v>
      </c>
      <c r="D8" t="s">
        <v>68</v>
      </c>
      <c r="E8" t="s">
        <v>46</v>
      </c>
      <c r="H8" t="s">
        <v>127</v>
      </c>
      <c r="I8" s="50" t="s">
        <v>128</v>
      </c>
      <c r="J8" s="50"/>
      <c r="K8" s="50"/>
    </row>
    <row r="9" spans="1:13" x14ac:dyDescent="0.25">
      <c r="A9" t="s">
        <v>69</v>
      </c>
      <c r="B9" t="s">
        <v>70</v>
      </c>
      <c r="C9" t="s">
        <v>71</v>
      </c>
      <c r="D9" t="s">
        <v>72</v>
      </c>
      <c r="E9" t="s">
        <v>50</v>
      </c>
    </row>
    <row r="10" spans="1:13" x14ac:dyDescent="0.25">
      <c r="A10" t="s">
        <v>73</v>
      </c>
      <c r="B10" t="s">
        <v>74</v>
      </c>
      <c r="C10" t="s">
        <v>75</v>
      </c>
      <c r="D10" t="s">
        <v>45</v>
      </c>
      <c r="E10" t="s">
        <v>46</v>
      </c>
      <c r="J10" s="9" t="s">
        <v>125</v>
      </c>
      <c r="K10" s="9" t="s">
        <v>39</v>
      </c>
    </row>
    <row r="11" spans="1:13" x14ac:dyDescent="0.25">
      <c r="A11" t="s">
        <v>76</v>
      </c>
      <c r="B11" t="s">
        <v>77</v>
      </c>
      <c r="C11" t="s">
        <v>78</v>
      </c>
      <c r="D11" t="s">
        <v>79</v>
      </c>
      <c r="E11" t="s">
        <v>50</v>
      </c>
      <c r="J11" s="9" t="s">
        <v>76</v>
      </c>
      <c r="K11" s="9" t="str">
        <f>INDEX(customers[City],MATCH(J11,customers[Customer ID],0))</f>
        <v>Kochi</v>
      </c>
    </row>
    <row r="14" spans="1:13" ht="17.25" x14ac:dyDescent="0.3">
      <c r="H14" t="s">
        <v>129</v>
      </c>
      <c r="I14" s="50" t="s">
        <v>130</v>
      </c>
      <c r="J14" s="50"/>
      <c r="K14" s="50"/>
      <c r="L14" s="50"/>
    </row>
    <row r="16" spans="1:13" x14ac:dyDescent="0.25">
      <c r="J16" s="9" t="s">
        <v>125</v>
      </c>
      <c r="K16" s="9" t="s">
        <v>40</v>
      </c>
    </row>
    <row r="17" spans="8:12" x14ac:dyDescent="0.25">
      <c r="J17" s="9" t="s">
        <v>51</v>
      </c>
      <c r="K17" s="9" t="str">
        <f>INDEX(customers[State],MATCH(J17,customers[Customer ID],0))</f>
        <v>Maharashtra</v>
      </c>
    </row>
    <row r="20" spans="8:12" ht="17.25" x14ac:dyDescent="0.3">
      <c r="H20" t="s">
        <v>132</v>
      </c>
      <c r="I20" s="50" t="s">
        <v>131</v>
      </c>
      <c r="J20" s="50"/>
      <c r="K20" s="50"/>
      <c r="L20" s="50"/>
    </row>
    <row r="22" spans="8:12" x14ac:dyDescent="0.25">
      <c r="J22" s="9" t="s">
        <v>125</v>
      </c>
      <c r="K22" s="9" t="s">
        <v>41</v>
      </c>
    </row>
    <row r="23" spans="8:12" x14ac:dyDescent="0.25">
      <c r="J23" s="9" t="s">
        <v>51</v>
      </c>
      <c r="K23" s="9" t="str">
        <f>INDEX(customers[Gender],MATCH(J23,customers[Customer ID],0))</f>
        <v>Male</v>
      </c>
    </row>
  </sheetData>
  <mergeCells count="4">
    <mergeCell ref="I2:M2"/>
    <mergeCell ref="I8:K8"/>
    <mergeCell ref="I14:L14"/>
    <mergeCell ref="I20:L2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A99D-DE0B-44DE-BD7A-10281D68767B}">
  <dimension ref="A1:J17"/>
  <sheetViews>
    <sheetView workbookViewId="0">
      <selection activeCell="B9" sqref="B9"/>
    </sheetView>
  </sheetViews>
  <sheetFormatPr defaultRowHeight="15" x14ac:dyDescent="0.25"/>
  <cols>
    <col min="1" max="1" width="10.140625" customWidth="1"/>
    <col min="2" max="2" width="13.5703125" customWidth="1"/>
    <col min="4" max="4" width="12" bestFit="1" customWidth="1"/>
    <col min="8" max="8" width="12.5703125" bestFit="1" customWidth="1"/>
  </cols>
  <sheetData>
    <row r="1" spans="1:10" x14ac:dyDescent="0.25">
      <c r="A1" t="s">
        <v>81</v>
      </c>
      <c r="B1" t="s">
        <v>82</v>
      </c>
      <c r="C1" t="s">
        <v>39</v>
      </c>
      <c r="D1" t="s">
        <v>40</v>
      </c>
    </row>
    <row r="2" spans="1:10" ht="17.25" x14ac:dyDescent="0.3">
      <c r="A2" t="s">
        <v>83</v>
      </c>
      <c r="B2" t="s">
        <v>84</v>
      </c>
      <c r="C2" t="s">
        <v>44</v>
      </c>
      <c r="D2" t="s">
        <v>45</v>
      </c>
      <c r="F2" t="s">
        <v>134</v>
      </c>
      <c r="G2" s="50" t="s">
        <v>133</v>
      </c>
      <c r="H2" s="50"/>
      <c r="I2" s="50"/>
      <c r="J2" s="50"/>
    </row>
    <row r="3" spans="1:10" x14ac:dyDescent="0.25">
      <c r="A3" t="s">
        <v>85</v>
      </c>
      <c r="B3" t="s">
        <v>86</v>
      </c>
      <c r="C3" t="s">
        <v>49</v>
      </c>
      <c r="D3" t="s">
        <v>45</v>
      </c>
    </row>
    <row r="4" spans="1:10" x14ac:dyDescent="0.25">
      <c r="A4" t="s">
        <v>87</v>
      </c>
      <c r="B4" t="s">
        <v>88</v>
      </c>
      <c r="C4" t="s">
        <v>53</v>
      </c>
      <c r="D4" t="s">
        <v>54</v>
      </c>
      <c r="G4" s="11" t="s">
        <v>135</v>
      </c>
      <c r="H4" s="11" t="s">
        <v>136</v>
      </c>
    </row>
    <row r="5" spans="1:10" x14ac:dyDescent="0.25">
      <c r="A5" t="s">
        <v>89</v>
      </c>
      <c r="B5" t="s">
        <v>90</v>
      </c>
      <c r="C5" t="s">
        <v>57</v>
      </c>
      <c r="D5" t="s">
        <v>54</v>
      </c>
      <c r="G5" s="11" t="s">
        <v>87</v>
      </c>
      <c r="H5" s="11" t="str">
        <f>INDEX(store[Store Name],MATCH(G5,store[Store ID],0))</f>
        <v>Central Store</v>
      </c>
    </row>
    <row r="6" spans="1:10" x14ac:dyDescent="0.25">
      <c r="A6" t="s">
        <v>91</v>
      </c>
      <c r="B6" t="s">
        <v>92</v>
      </c>
      <c r="C6" t="s">
        <v>60</v>
      </c>
      <c r="D6" t="s">
        <v>61</v>
      </c>
    </row>
    <row r="8" spans="1:10" ht="17.25" x14ac:dyDescent="0.3">
      <c r="F8" t="s">
        <v>137</v>
      </c>
      <c r="G8" s="50" t="s">
        <v>138</v>
      </c>
      <c r="H8" s="50"/>
      <c r="I8" s="50"/>
      <c r="J8" s="50"/>
    </row>
    <row r="10" spans="1:10" x14ac:dyDescent="0.25">
      <c r="G10" s="11" t="s">
        <v>135</v>
      </c>
      <c r="H10" s="11" t="s">
        <v>39</v>
      </c>
    </row>
    <row r="11" spans="1:10" x14ac:dyDescent="0.25">
      <c r="G11" s="11" t="s">
        <v>91</v>
      </c>
      <c r="H11" s="11" t="str">
        <f>INDEX(store[City],MATCH(G11,store[Store ID],0))</f>
        <v>Jaipur</v>
      </c>
    </row>
    <row r="14" spans="1:10" ht="17.25" x14ac:dyDescent="0.3">
      <c r="F14" t="s">
        <v>140</v>
      </c>
      <c r="G14" s="50" t="s">
        <v>139</v>
      </c>
      <c r="H14" s="50"/>
      <c r="I14" s="50"/>
      <c r="J14" s="50"/>
    </row>
    <row r="16" spans="1:10" x14ac:dyDescent="0.25">
      <c r="G16" s="11" t="s">
        <v>135</v>
      </c>
      <c r="H16" s="11" t="s">
        <v>40</v>
      </c>
    </row>
    <row r="17" spans="7:8" x14ac:dyDescent="0.25">
      <c r="G17" s="11" t="s">
        <v>85</v>
      </c>
      <c r="H17" s="11" t="str">
        <f>INDEX(store[State],MATCH(G17,store[Store ID],0))</f>
        <v>Gujarat</v>
      </c>
    </row>
  </sheetData>
  <mergeCells count="3">
    <mergeCell ref="G2:J2"/>
    <mergeCell ref="G8:J8"/>
    <mergeCell ref="G14:J1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6005-851B-417D-B54D-724B46EB4764}">
  <dimension ref="A1:Q76"/>
  <sheetViews>
    <sheetView workbookViewId="0">
      <selection activeCell="D24" sqref="D24"/>
    </sheetView>
  </sheetViews>
  <sheetFormatPr defaultRowHeight="15" x14ac:dyDescent="0.25"/>
  <cols>
    <col min="2" max="2" width="12.28515625" customWidth="1"/>
    <col min="3" max="3" width="14" customWidth="1"/>
    <col min="4" max="4" width="10.85546875" customWidth="1"/>
    <col min="6" max="6" width="10.140625" customWidth="1"/>
    <col min="11" max="11" width="11.7109375" bestFit="1" customWidth="1"/>
    <col min="12" max="12" width="15.140625" bestFit="1" customWidth="1"/>
    <col min="13" max="13" width="12.7109375" bestFit="1" customWidth="1"/>
    <col min="14" max="14" width="9.42578125" bestFit="1" customWidth="1"/>
  </cols>
  <sheetData>
    <row r="1" spans="1:17" x14ac:dyDescent="0.25">
      <c r="A1" t="s">
        <v>93</v>
      </c>
      <c r="B1" t="s">
        <v>94</v>
      </c>
      <c r="C1" t="s">
        <v>80</v>
      </c>
      <c r="D1" t="s">
        <v>95</v>
      </c>
      <c r="E1" t="s">
        <v>96</v>
      </c>
      <c r="F1" t="s">
        <v>81</v>
      </c>
    </row>
    <row r="2" spans="1:17" ht="17.25" x14ac:dyDescent="0.3">
      <c r="A2" t="s">
        <v>97</v>
      </c>
      <c r="B2" t="s">
        <v>5</v>
      </c>
      <c r="C2" t="s">
        <v>42</v>
      </c>
      <c r="D2">
        <v>1</v>
      </c>
      <c r="E2" s="1">
        <v>46023</v>
      </c>
      <c r="F2" t="s">
        <v>83</v>
      </c>
      <c r="I2" t="s">
        <v>142</v>
      </c>
      <c r="J2" s="50" t="s">
        <v>141</v>
      </c>
      <c r="K2" s="50"/>
      <c r="L2" s="50"/>
      <c r="M2" s="50"/>
      <c r="N2" s="50"/>
      <c r="O2" s="50"/>
      <c r="P2" s="50"/>
      <c r="Q2" s="50"/>
    </row>
    <row r="3" spans="1:17" x14ac:dyDescent="0.25">
      <c r="A3" t="s">
        <v>98</v>
      </c>
      <c r="B3" t="s">
        <v>19</v>
      </c>
      <c r="C3" t="s">
        <v>47</v>
      </c>
      <c r="D3">
        <v>3</v>
      </c>
      <c r="E3" s="1">
        <v>46024</v>
      </c>
      <c r="F3" t="s">
        <v>85</v>
      </c>
      <c r="K3" s="11" t="s">
        <v>37</v>
      </c>
      <c r="L3" s="11" t="s">
        <v>114</v>
      </c>
    </row>
    <row r="4" spans="1:17" x14ac:dyDescent="0.25">
      <c r="A4" t="s">
        <v>99</v>
      </c>
      <c r="B4" t="s">
        <v>12</v>
      </c>
      <c r="C4" t="s">
        <v>51</v>
      </c>
      <c r="D4">
        <v>2</v>
      </c>
      <c r="E4" s="1">
        <v>46025</v>
      </c>
      <c r="F4" t="s">
        <v>87</v>
      </c>
      <c r="K4" s="12" t="str" cm="1">
        <f t="array" ref="K4:K13">_xlfn.UNIQUE(Sales[Product ID])</f>
        <v>P1001</v>
      </c>
      <c r="L4" s="12" t="str">
        <f>INDEX(product[Product Name],MATCH(Sales!$K4,product[Product id],0))</f>
        <v>Laptop</v>
      </c>
    </row>
    <row r="5" spans="1:17" x14ac:dyDescent="0.25">
      <c r="A5" t="s">
        <v>100</v>
      </c>
      <c r="B5" t="s">
        <v>32</v>
      </c>
      <c r="C5" t="s">
        <v>55</v>
      </c>
      <c r="D5">
        <v>1</v>
      </c>
      <c r="E5" s="1">
        <v>46026</v>
      </c>
      <c r="F5" t="s">
        <v>89</v>
      </c>
      <c r="K5" s="12" t="str">
        <v>P1005</v>
      </c>
      <c r="L5" s="12" t="str">
        <f>INDEX(product[Product Name],MATCH(Sales!$K5,product[Product id],0))</f>
        <v>Mouse</v>
      </c>
    </row>
    <row r="6" spans="1:17" x14ac:dyDescent="0.25">
      <c r="A6" t="s">
        <v>101</v>
      </c>
      <c r="B6" t="s">
        <v>9</v>
      </c>
      <c r="C6" t="s">
        <v>58</v>
      </c>
      <c r="D6">
        <v>2</v>
      </c>
      <c r="E6" s="1">
        <v>46027</v>
      </c>
      <c r="F6" t="s">
        <v>91</v>
      </c>
      <c r="K6" s="12" t="str">
        <v>P1003</v>
      </c>
      <c r="L6" s="12" t="str">
        <f>INDEX(product[Product Name],MATCH(Sales!$K6,product[Product id],0))</f>
        <v>Headphones</v>
      </c>
    </row>
    <row r="7" spans="1:17" x14ac:dyDescent="0.25">
      <c r="A7" t="s">
        <v>102</v>
      </c>
      <c r="B7" t="s">
        <v>25</v>
      </c>
      <c r="C7" t="s">
        <v>62</v>
      </c>
      <c r="D7">
        <v>1</v>
      </c>
      <c r="E7" s="1">
        <v>46028</v>
      </c>
      <c r="F7" t="s">
        <v>83</v>
      </c>
      <c r="K7" s="12" t="str">
        <v>P1009</v>
      </c>
      <c r="L7" s="12" t="str">
        <f>INDEX(product[Product Name],MATCH(Sales!$K7,product[Product id],0))</f>
        <v>Monitor</v>
      </c>
    </row>
    <row r="8" spans="1:17" x14ac:dyDescent="0.25">
      <c r="A8" t="s">
        <v>103</v>
      </c>
      <c r="B8" t="s">
        <v>22</v>
      </c>
      <c r="C8" t="s">
        <v>65</v>
      </c>
      <c r="D8">
        <v>1</v>
      </c>
      <c r="E8" s="1">
        <v>46029</v>
      </c>
      <c r="F8" t="s">
        <v>85</v>
      </c>
      <c r="K8" s="12" t="str">
        <v>P1002</v>
      </c>
      <c r="L8" s="12" t="str">
        <f>INDEX(product[Product Name],MATCH(Sales!$K8,product[Product id],0))</f>
        <v>Smartphone</v>
      </c>
    </row>
    <row r="9" spans="1:17" x14ac:dyDescent="0.25">
      <c r="A9" t="s">
        <v>104</v>
      </c>
      <c r="B9" t="s">
        <v>35</v>
      </c>
      <c r="C9" t="s">
        <v>69</v>
      </c>
      <c r="D9">
        <v>2</v>
      </c>
      <c r="E9" s="1">
        <v>46030</v>
      </c>
      <c r="F9" t="s">
        <v>87</v>
      </c>
      <c r="K9" s="12" t="str">
        <v>P1007</v>
      </c>
      <c r="L9" s="12" t="str">
        <f>INDEX(product[Product Name],MATCH(Sales!$K9,product[Product id],0))</f>
        <v>Office Chair</v>
      </c>
    </row>
    <row r="10" spans="1:17" x14ac:dyDescent="0.25">
      <c r="A10" t="s">
        <v>105</v>
      </c>
      <c r="B10" t="s">
        <v>15</v>
      </c>
      <c r="C10" t="s">
        <v>73</v>
      </c>
      <c r="D10">
        <v>4</v>
      </c>
      <c r="E10" s="1">
        <v>46031</v>
      </c>
      <c r="F10" t="s">
        <v>89</v>
      </c>
      <c r="K10" s="12" t="str">
        <v>P1006</v>
      </c>
      <c r="L10" s="12" t="str">
        <f>INDEX(product[Product Name],MATCH(Sales!$K10,product[Product id],0))</f>
        <v>Printer</v>
      </c>
    </row>
    <row r="11" spans="1:17" x14ac:dyDescent="0.25">
      <c r="A11" t="s">
        <v>106</v>
      </c>
      <c r="B11" t="s">
        <v>29</v>
      </c>
      <c r="C11" t="s">
        <v>76</v>
      </c>
      <c r="D11">
        <v>1</v>
      </c>
      <c r="E11" s="1">
        <v>46032</v>
      </c>
      <c r="F11" t="s">
        <v>91</v>
      </c>
      <c r="K11" s="12" t="str">
        <v>P1010</v>
      </c>
      <c r="L11" s="12" t="str">
        <f>INDEX(product[Product Name],MATCH(Sales!$K11,product[Product id],0))</f>
        <v>Webcam</v>
      </c>
    </row>
    <row r="12" spans="1:17" x14ac:dyDescent="0.25">
      <c r="A12" t="s">
        <v>107</v>
      </c>
      <c r="B12" t="s">
        <v>19</v>
      </c>
      <c r="C12" t="s">
        <v>42</v>
      </c>
      <c r="D12">
        <v>5</v>
      </c>
      <c r="E12" s="1">
        <v>46033</v>
      </c>
      <c r="F12" t="s">
        <v>83</v>
      </c>
      <c r="K12" s="12" t="str">
        <v>P1004</v>
      </c>
      <c r="L12" s="12" t="str">
        <f>INDEX(product[Product Name],MATCH(Sales!$K12,product[Product id],0))</f>
        <v>Keyboard</v>
      </c>
    </row>
    <row r="13" spans="1:17" x14ac:dyDescent="0.25">
      <c r="A13" t="s">
        <v>108</v>
      </c>
      <c r="B13" t="s">
        <v>12</v>
      </c>
      <c r="C13" t="s">
        <v>47</v>
      </c>
      <c r="D13">
        <v>3</v>
      </c>
      <c r="E13" s="1">
        <v>46034</v>
      </c>
      <c r="F13" t="s">
        <v>85</v>
      </c>
      <c r="K13" s="12" t="str">
        <v>P1008</v>
      </c>
      <c r="L13" s="12" t="str">
        <f>INDEX(product[Product Name],MATCH(Sales!$K13,product[Product id],0))</f>
        <v>Office Desk</v>
      </c>
    </row>
    <row r="14" spans="1:17" x14ac:dyDescent="0.25">
      <c r="A14" t="s">
        <v>109</v>
      </c>
      <c r="B14" t="s">
        <v>5</v>
      </c>
      <c r="C14" t="s">
        <v>51</v>
      </c>
      <c r="D14">
        <v>1</v>
      </c>
      <c r="E14" s="1">
        <v>46035</v>
      </c>
      <c r="F14" t="s">
        <v>87</v>
      </c>
    </row>
    <row r="15" spans="1:17" ht="17.25" x14ac:dyDescent="0.3">
      <c r="A15" t="s">
        <v>110</v>
      </c>
      <c r="B15" t="s">
        <v>32</v>
      </c>
      <c r="C15" t="s">
        <v>55</v>
      </c>
      <c r="D15">
        <v>2</v>
      </c>
      <c r="E15" s="1">
        <v>46036</v>
      </c>
      <c r="F15" t="s">
        <v>89</v>
      </c>
      <c r="I15" t="s">
        <v>143</v>
      </c>
      <c r="J15" s="50" t="s">
        <v>144</v>
      </c>
      <c r="K15" s="50"/>
      <c r="L15" s="50"/>
      <c r="M15" s="50"/>
      <c r="N15" s="50"/>
      <c r="O15" s="50"/>
      <c r="P15" s="50"/>
      <c r="Q15" s="50"/>
    </row>
    <row r="16" spans="1:17" x14ac:dyDescent="0.25">
      <c r="A16" t="s">
        <v>111</v>
      </c>
      <c r="B16" t="s">
        <v>9</v>
      </c>
      <c r="C16" t="s">
        <v>58</v>
      </c>
      <c r="D16">
        <v>1</v>
      </c>
      <c r="E16" s="1">
        <v>46037</v>
      </c>
      <c r="F16" t="s">
        <v>91</v>
      </c>
      <c r="K16" s="9" t="s">
        <v>125</v>
      </c>
      <c r="L16" s="9" t="s">
        <v>126</v>
      </c>
    </row>
    <row r="17" spans="9:15" x14ac:dyDescent="0.25">
      <c r="K17" s="13" t="str" cm="1">
        <f t="array" ref="K17:K26">_xlfn.UNIQUE(Sales[Customer ID])</f>
        <v>C001</v>
      </c>
      <c r="L17" s="13" t="str">
        <f>INDEX(customers[Customer Name],MATCH(Sales!$K17,customers[Customer ID],0))</f>
        <v>Amit Patel</v>
      </c>
    </row>
    <row r="18" spans="9:15" x14ac:dyDescent="0.25">
      <c r="K18" s="13" t="str">
        <v>C002</v>
      </c>
      <c r="L18" s="13" t="str">
        <f>INDEX(customers[Customer Name],MATCH(Sales!$K18,customers[Customer ID],0))</f>
        <v>Priya Shah</v>
      </c>
    </row>
    <row r="19" spans="9:15" x14ac:dyDescent="0.25">
      <c r="K19" s="13" t="str">
        <v>C003</v>
      </c>
      <c r="L19" s="13" t="str">
        <f>INDEX(customers[Customer Name],MATCH(Sales!$K19,customers[Customer ID],0))</f>
        <v>Rahul Mehta</v>
      </c>
    </row>
    <row r="20" spans="9:15" x14ac:dyDescent="0.25">
      <c r="K20" s="13" t="str">
        <v>C004</v>
      </c>
      <c r="L20" s="13" t="str">
        <f>INDEX(customers[Customer Name],MATCH(Sales!$K20,customers[Customer ID],0))</f>
        <v>Sneha Joshi</v>
      </c>
    </row>
    <row r="21" spans="9:15" x14ac:dyDescent="0.25">
      <c r="K21" s="13" t="str">
        <v>C005</v>
      </c>
      <c r="L21" s="13" t="str">
        <f>INDEX(customers[Customer Name],MATCH(Sales!$K21,customers[Customer ID],0))</f>
        <v>Arjun Singh</v>
      </c>
    </row>
    <row r="22" spans="9:15" x14ac:dyDescent="0.25">
      <c r="K22" s="13" t="str">
        <v>C006</v>
      </c>
      <c r="L22" s="13" t="str">
        <f>INDEX(customers[Customer Name],MATCH(Sales!$K22,customers[Customer ID],0))</f>
        <v>Neha Verma</v>
      </c>
    </row>
    <row r="23" spans="9:15" x14ac:dyDescent="0.25">
      <c r="K23" s="13" t="str">
        <v>C007</v>
      </c>
      <c r="L23" s="13" t="str">
        <f>INDEX(customers[Customer Name],MATCH(Sales!$K23,customers[Customer ID],0))</f>
        <v>Rohan Gupta</v>
      </c>
    </row>
    <row r="24" spans="9:15" x14ac:dyDescent="0.25">
      <c r="K24" s="13" t="str">
        <v>C008</v>
      </c>
      <c r="L24" s="13" t="str">
        <f>INDEX(customers[Customer Name],MATCH(Sales!$K24,customers[Customer ID],0))</f>
        <v>Pooja Sharma</v>
      </c>
    </row>
    <row r="25" spans="9:15" x14ac:dyDescent="0.25">
      <c r="K25" s="13" t="str">
        <v>C009</v>
      </c>
      <c r="L25" s="13" t="str">
        <f>INDEX(customers[Customer Name],MATCH(Sales!$K25,customers[Customer ID],0))</f>
        <v>Karan Desai</v>
      </c>
    </row>
    <row r="26" spans="9:15" x14ac:dyDescent="0.25">
      <c r="K26" s="13" t="str">
        <v>C010</v>
      </c>
      <c r="L26" s="13" t="str">
        <f>INDEX(customers[Customer Name],MATCH(Sales!$K26,customers[Customer ID],0))</f>
        <v>Anjali Nair</v>
      </c>
    </row>
    <row r="29" spans="9:15" ht="17.25" x14ac:dyDescent="0.3">
      <c r="I29" t="s">
        <v>146</v>
      </c>
      <c r="J29" s="50" t="s">
        <v>145</v>
      </c>
      <c r="K29" s="50"/>
      <c r="L29" s="50"/>
      <c r="M29" s="50"/>
      <c r="N29" s="50"/>
      <c r="O29" s="50"/>
    </row>
    <row r="31" spans="9:15" x14ac:dyDescent="0.25">
      <c r="K31" s="9" t="s">
        <v>135</v>
      </c>
      <c r="L31" s="9" t="s">
        <v>136</v>
      </c>
    </row>
    <row r="32" spans="9:15" x14ac:dyDescent="0.25">
      <c r="K32" s="13" t="str" cm="1">
        <f t="array" ref="K32:K36">_xlfn.UNIQUE(Sales[Store ID])</f>
        <v>S001</v>
      </c>
      <c r="L32" s="13" t="str">
        <f>INDEX(store[Store Name],MATCH(Sales!$K32,store[Store ID],0))</f>
        <v>Alpha Store</v>
      </c>
    </row>
    <row r="33" spans="9:16" x14ac:dyDescent="0.25">
      <c r="K33" s="13" t="str">
        <v>S002</v>
      </c>
      <c r="L33" s="13" t="str">
        <f>INDEX(store[Store Name],MATCH(Sales!$K33,store[Store ID],0))</f>
        <v>Beta Store</v>
      </c>
    </row>
    <row r="34" spans="9:16" x14ac:dyDescent="0.25">
      <c r="K34" s="13" t="str">
        <v>S003</v>
      </c>
      <c r="L34" s="13" t="str">
        <f>INDEX(store[Store Name],MATCH(Sales!$K34,store[Store ID],0))</f>
        <v>Central Store</v>
      </c>
    </row>
    <row r="35" spans="9:16" x14ac:dyDescent="0.25">
      <c r="K35" s="13" t="str">
        <v>S004</v>
      </c>
      <c r="L35" s="13" t="str">
        <f>INDEX(store[Store Name],MATCH(Sales!$K35,store[Store ID],0))</f>
        <v>Digital Hub</v>
      </c>
    </row>
    <row r="36" spans="9:16" x14ac:dyDescent="0.25">
      <c r="K36" s="13" t="str">
        <v>S005</v>
      </c>
      <c r="L36" s="13" t="str">
        <f>INDEX(store[Store Name],MATCH(Sales!$K36,store[Store ID],0))</f>
        <v>Smart World</v>
      </c>
    </row>
    <row r="39" spans="9:16" ht="17.25" x14ac:dyDescent="0.3">
      <c r="I39" t="s">
        <v>148</v>
      </c>
      <c r="J39" s="50" t="s">
        <v>147</v>
      </c>
      <c r="K39" s="50"/>
      <c r="L39" s="50"/>
      <c r="M39" s="50"/>
      <c r="N39" s="50"/>
      <c r="O39" s="50"/>
      <c r="P39" s="50"/>
    </row>
    <row r="41" spans="9:16" x14ac:dyDescent="0.25">
      <c r="K41" s="3" t="s">
        <v>94</v>
      </c>
      <c r="L41" t="s">
        <v>149</v>
      </c>
    </row>
    <row r="42" spans="9:16" x14ac:dyDescent="0.25">
      <c r="K42" s="5" t="s">
        <v>5</v>
      </c>
      <c r="L42">
        <f>INDEX(product[Price],MATCH(Sales!$K42,product[Product id],0))</f>
        <v>55000</v>
      </c>
    </row>
    <row r="43" spans="9:16" x14ac:dyDescent="0.25">
      <c r="K43" s="7" t="s">
        <v>19</v>
      </c>
      <c r="L43">
        <f>INDEX(product[Price],MATCH(Sales!$K43,product[Product id],0))</f>
        <v>900</v>
      </c>
    </row>
    <row r="44" spans="9:16" x14ac:dyDescent="0.25">
      <c r="K44" s="5" t="s">
        <v>12</v>
      </c>
      <c r="L44">
        <f>INDEX(product[Price],MATCH(Sales!$K44,product[Product id],0))</f>
        <v>4500</v>
      </c>
    </row>
    <row r="45" spans="9:16" x14ac:dyDescent="0.25">
      <c r="K45" s="7" t="s">
        <v>32</v>
      </c>
      <c r="L45">
        <f>INDEX(product[Price],MATCH(Sales!$K45,product[Product id],0))</f>
        <v>16000</v>
      </c>
    </row>
    <row r="46" spans="9:16" x14ac:dyDescent="0.25">
      <c r="K46" s="5" t="s">
        <v>9</v>
      </c>
      <c r="L46">
        <f>INDEX(product[Price],MATCH(Sales!$K46,product[Product id],0))</f>
        <v>32000</v>
      </c>
    </row>
    <row r="47" spans="9:16" x14ac:dyDescent="0.25">
      <c r="K47" s="7" t="s">
        <v>25</v>
      </c>
      <c r="L47">
        <f>INDEX(product[Price],MATCH(Sales!$K47,product[Product id],0))</f>
        <v>8500</v>
      </c>
    </row>
    <row r="48" spans="9:16" x14ac:dyDescent="0.25">
      <c r="K48" s="5" t="s">
        <v>22</v>
      </c>
      <c r="L48">
        <f>INDEX(product[Price],MATCH(Sales!$K48,product[Product id],0))</f>
        <v>12500</v>
      </c>
    </row>
    <row r="49" spans="9:14" x14ac:dyDescent="0.25">
      <c r="K49" s="7" t="s">
        <v>35</v>
      </c>
      <c r="L49">
        <f>INDEX(product[Price],MATCH(Sales!$K49,product[Product id],0))</f>
        <v>3500</v>
      </c>
    </row>
    <row r="50" spans="9:14" x14ac:dyDescent="0.25">
      <c r="K50" s="5" t="s">
        <v>15</v>
      </c>
      <c r="L50">
        <f>INDEX(product[Price],MATCH(Sales!$K50,product[Product id],0))</f>
        <v>1800</v>
      </c>
    </row>
    <row r="51" spans="9:14" x14ac:dyDescent="0.25">
      <c r="K51" s="7" t="s">
        <v>29</v>
      </c>
      <c r="L51">
        <f>INDEX(product[Price],MATCH(Sales!$K51,product[Product id],0))</f>
        <v>12000</v>
      </c>
    </row>
    <row r="52" spans="9:14" x14ac:dyDescent="0.25">
      <c r="K52" s="5" t="s">
        <v>19</v>
      </c>
      <c r="L52">
        <f>INDEX(product[Price],MATCH(Sales!$K52,product[Product id],0))</f>
        <v>900</v>
      </c>
    </row>
    <row r="53" spans="9:14" x14ac:dyDescent="0.25">
      <c r="K53" s="7" t="s">
        <v>12</v>
      </c>
      <c r="L53">
        <f>INDEX(product[Price],MATCH(Sales!$K53,product[Product id],0))</f>
        <v>4500</v>
      </c>
    </row>
    <row r="54" spans="9:14" x14ac:dyDescent="0.25">
      <c r="K54" s="5" t="s">
        <v>5</v>
      </c>
      <c r="L54">
        <f>INDEX(product[Price],MATCH(Sales!$K54,product[Product id],0))</f>
        <v>55000</v>
      </c>
    </row>
    <row r="55" spans="9:14" x14ac:dyDescent="0.25">
      <c r="K55" s="7" t="s">
        <v>32</v>
      </c>
      <c r="L55">
        <f>INDEX(product[Price],MATCH(Sales!$K55,product[Product id],0))</f>
        <v>16000</v>
      </c>
    </row>
    <row r="56" spans="9:14" x14ac:dyDescent="0.25">
      <c r="K56" s="5" t="s">
        <v>9</v>
      </c>
      <c r="L56">
        <f>INDEX(product[Price],MATCH(Sales!$K56,product[Product id],0))</f>
        <v>32000</v>
      </c>
    </row>
    <row r="59" spans="9:14" ht="17.25" x14ac:dyDescent="0.3">
      <c r="I59" t="s">
        <v>151</v>
      </c>
      <c r="J59" s="50" t="s">
        <v>150</v>
      </c>
      <c r="K59" s="50"/>
      <c r="L59" s="50"/>
      <c r="M59" s="50"/>
    </row>
    <row r="61" spans="9:14" x14ac:dyDescent="0.25">
      <c r="K61" s="9" t="s">
        <v>94</v>
      </c>
      <c r="L61" s="9" t="s">
        <v>95</v>
      </c>
      <c r="M61" s="9" t="s">
        <v>149</v>
      </c>
      <c r="N61" s="9" t="s">
        <v>152</v>
      </c>
    </row>
    <row r="62" spans="9:14" x14ac:dyDescent="0.25">
      <c r="K62" s="13" t="s">
        <v>5</v>
      </c>
      <c r="L62" s="13">
        <v>1</v>
      </c>
      <c r="M62" s="13">
        <v>55000</v>
      </c>
      <c r="N62" s="13">
        <f>PRODUCT(L62,M62)</f>
        <v>55000</v>
      </c>
    </row>
    <row r="63" spans="9:14" x14ac:dyDescent="0.25">
      <c r="K63" s="13" t="s">
        <v>19</v>
      </c>
      <c r="L63" s="13">
        <v>3</v>
      </c>
      <c r="M63" s="13">
        <v>900</v>
      </c>
      <c r="N63" s="13">
        <f t="shared" ref="N63:N76" si="0">PRODUCT(L63,M63)</f>
        <v>2700</v>
      </c>
    </row>
    <row r="64" spans="9:14" x14ac:dyDescent="0.25">
      <c r="K64" s="13" t="s">
        <v>12</v>
      </c>
      <c r="L64" s="13">
        <v>2</v>
      </c>
      <c r="M64" s="13">
        <v>4500</v>
      </c>
      <c r="N64" s="13">
        <f t="shared" si="0"/>
        <v>9000</v>
      </c>
    </row>
    <row r="65" spans="11:14" x14ac:dyDescent="0.25">
      <c r="K65" s="13" t="s">
        <v>32</v>
      </c>
      <c r="L65" s="13">
        <v>1</v>
      </c>
      <c r="M65" s="13">
        <v>16000</v>
      </c>
      <c r="N65" s="13">
        <f t="shared" si="0"/>
        <v>16000</v>
      </c>
    </row>
    <row r="66" spans="11:14" x14ac:dyDescent="0.25">
      <c r="K66" s="13" t="s">
        <v>9</v>
      </c>
      <c r="L66" s="13">
        <v>2</v>
      </c>
      <c r="M66" s="13">
        <v>32000</v>
      </c>
      <c r="N66" s="13">
        <f t="shared" si="0"/>
        <v>64000</v>
      </c>
    </row>
    <row r="67" spans="11:14" x14ac:dyDescent="0.25">
      <c r="K67" s="13" t="s">
        <v>25</v>
      </c>
      <c r="L67" s="13">
        <v>1</v>
      </c>
      <c r="M67" s="13">
        <v>8500</v>
      </c>
      <c r="N67" s="13">
        <f t="shared" si="0"/>
        <v>8500</v>
      </c>
    </row>
    <row r="68" spans="11:14" x14ac:dyDescent="0.25">
      <c r="K68" s="13" t="s">
        <v>22</v>
      </c>
      <c r="L68" s="13">
        <v>1</v>
      </c>
      <c r="M68" s="13">
        <v>12500</v>
      </c>
      <c r="N68" s="13">
        <f t="shared" si="0"/>
        <v>12500</v>
      </c>
    </row>
    <row r="69" spans="11:14" x14ac:dyDescent="0.25">
      <c r="K69" s="13" t="s">
        <v>35</v>
      </c>
      <c r="L69" s="13">
        <v>2</v>
      </c>
      <c r="M69" s="13">
        <v>3500</v>
      </c>
      <c r="N69" s="13">
        <f t="shared" si="0"/>
        <v>7000</v>
      </c>
    </row>
    <row r="70" spans="11:14" x14ac:dyDescent="0.25">
      <c r="K70" s="13" t="s">
        <v>15</v>
      </c>
      <c r="L70" s="13">
        <v>4</v>
      </c>
      <c r="M70" s="13">
        <v>1800</v>
      </c>
      <c r="N70" s="13">
        <f t="shared" si="0"/>
        <v>7200</v>
      </c>
    </row>
    <row r="71" spans="11:14" x14ac:dyDescent="0.25">
      <c r="K71" s="13" t="s">
        <v>29</v>
      </c>
      <c r="L71" s="13">
        <v>1</v>
      </c>
      <c r="M71" s="13">
        <v>12000</v>
      </c>
      <c r="N71" s="13">
        <f t="shared" si="0"/>
        <v>12000</v>
      </c>
    </row>
    <row r="72" spans="11:14" x14ac:dyDescent="0.25">
      <c r="K72" s="13" t="s">
        <v>19</v>
      </c>
      <c r="L72" s="13">
        <v>5</v>
      </c>
      <c r="M72" s="13">
        <v>900</v>
      </c>
      <c r="N72" s="13">
        <f t="shared" si="0"/>
        <v>4500</v>
      </c>
    </row>
    <row r="73" spans="11:14" x14ac:dyDescent="0.25">
      <c r="K73" s="13" t="s">
        <v>12</v>
      </c>
      <c r="L73" s="13">
        <v>3</v>
      </c>
      <c r="M73" s="13">
        <v>4500</v>
      </c>
      <c r="N73" s="13">
        <f t="shared" si="0"/>
        <v>13500</v>
      </c>
    </row>
    <row r="74" spans="11:14" x14ac:dyDescent="0.25">
      <c r="K74" s="13" t="s">
        <v>5</v>
      </c>
      <c r="L74" s="13">
        <v>1</v>
      </c>
      <c r="M74" s="13">
        <v>55000</v>
      </c>
      <c r="N74" s="13">
        <f t="shared" si="0"/>
        <v>55000</v>
      </c>
    </row>
    <row r="75" spans="11:14" x14ac:dyDescent="0.25">
      <c r="K75" s="13" t="s">
        <v>32</v>
      </c>
      <c r="L75" s="13">
        <v>2</v>
      </c>
      <c r="M75" s="13">
        <v>16000</v>
      </c>
      <c r="N75" s="13">
        <f t="shared" si="0"/>
        <v>32000</v>
      </c>
    </row>
    <row r="76" spans="11:14" x14ac:dyDescent="0.25">
      <c r="K76" s="13" t="s">
        <v>9</v>
      </c>
      <c r="L76" s="13">
        <v>1</v>
      </c>
      <c r="M76" s="13">
        <v>32000</v>
      </c>
      <c r="N76" s="13">
        <f t="shared" si="0"/>
        <v>32000</v>
      </c>
    </row>
  </sheetData>
  <mergeCells count="5">
    <mergeCell ref="J2:Q2"/>
    <mergeCell ref="J15:Q15"/>
    <mergeCell ref="J29:O29"/>
    <mergeCell ref="J39:P39"/>
    <mergeCell ref="J59:M59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B9E7-7277-45C0-9CE3-F3259A80C9ED}">
  <dimension ref="A2:M23"/>
  <sheetViews>
    <sheetView workbookViewId="0">
      <selection activeCell="F23" sqref="F23"/>
    </sheetView>
  </sheetViews>
  <sheetFormatPr defaultRowHeight="15" x14ac:dyDescent="0.25"/>
  <cols>
    <col min="3" max="3" width="40.5703125" customWidth="1"/>
    <col min="6" max="6" width="7.7109375" bestFit="1" customWidth="1"/>
    <col min="7" max="7" width="13.42578125" bestFit="1" customWidth="1"/>
    <col min="8" max="8" width="13.7109375" bestFit="1" customWidth="1"/>
    <col min="9" max="9" width="15.140625" bestFit="1" customWidth="1"/>
    <col min="10" max="10" width="12.42578125" customWidth="1"/>
    <col min="11" max="11" width="15.140625" bestFit="1" customWidth="1"/>
    <col min="12" max="12" width="12.85546875" bestFit="1" customWidth="1"/>
    <col min="13" max="13" width="11" bestFit="1" customWidth="1"/>
    <col min="18" max="18" width="12.5703125" customWidth="1"/>
  </cols>
  <sheetData>
    <row r="2" spans="1:13" ht="17.25" x14ac:dyDescent="0.25">
      <c r="A2" t="s">
        <v>155</v>
      </c>
      <c r="C2" s="17" t="s">
        <v>153</v>
      </c>
      <c r="F2" s="19" t="s">
        <v>93</v>
      </c>
      <c r="G2" s="20" t="s">
        <v>0</v>
      </c>
      <c r="H2" s="9" t="s">
        <v>1</v>
      </c>
      <c r="I2" s="9" t="s">
        <v>126</v>
      </c>
      <c r="J2" s="9" t="s">
        <v>136</v>
      </c>
      <c r="K2" s="9" t="s">
        <v>156</v>
      </c>
      <c r="L2" s="9" t="s">
        <v>3</v>
      </c>
      <c r="M2" s="9" t="s">
        <v>152</v>
      </c>
    </row>
    <row r="3" spans="1:13" ht="17.25" x14ac:dyDescent="0.25">
      <c r="C3" s="18" t="s">
        <v>93</v>
      </c>
      <c r="F3" s="14" t="s">
        <v>97</v>
      </c>
      <c r="G3" s="12" t="str">
        <f>INDEX('Advance table'!K3:K17,MATCH('Index-Match'!F3,'Advance table'!H3:H17,0))</f>
        <v>Laptop</v>
      </c>
      <c r="H3" s="12" t="str">
        <f>INDEX(Table7[Category],MATCH('Index-Match'!G3,Table7[Product Name],0))</f>
        <v>Electronics</v>
      </c>
      <c r="I3" s="13" t="str">
        <f>INDEX(Table7[Customer Name],MATCH(F3,Table7[Sale ID],0))</f>
        <v>Amit Patel</v>
      </c>
      <c r="J3" s="13" t="str">
        <f>INDEX(Table7[Store name],MATCH('Index-Match'!I3,Table7[Customer Name],0))</f>
        <v>Alpha Store</v>
      </c>
      <c r="K3" s="13">
        <f>INDEX(Table7[Quantity],MATCH('Index-Match'!F3,Table7[Sale ID],0))</f>
        <v>1</v>
      </c>
      <c r="L3" s="13">
        <f>INDEX(Table7[Product price],MATCH('Index-Match'!F3,Table7[Sale ID],0))</f>
        <v>55000</v>
      </c>
      <c r="M3" s="13">
        <f>INDEX(Table7[Total sale],MATCH('Index-Match'!F3,Table7[Sale ID],0))</f>
        <v>55000</v>
      </c>
    </row>
    <row r="4" spans="1:13" ht="17.25" x14ac:dyDescent="0.25">
      <c r="C4" s="18" t="s">
        <v>0</v>
      </c>
      <c r="F4" s="15" t="s">
        <v>98</v>
      </c>
      <c r="G4" s="12" t="str">
        <f>INDEX('Advance table'!K4:K18,MATCH('Index-Match'!F4,'Advance table'!H4:H18,0))</f>
        <v>Mouse</v>
      </c>
      <c r="H4" s="12" t="str">
        <f>INDEX(Table7[Category],MATCH('Index-Match'!G4,Table7[Product Name],0))</f>
        <v>Accessories</v>
      </c>
      <c r="I4" s="13" t="str">
        <f>INDEX(Table7[Customer Name],MATCH(F4,Table7[Sale ID],0))</f>
        <v>Priya Shah</v>
      </c>
      <c r="J4" s="13" t="str">
        <f>INDEX(Table7[Store name],MATCH('Index-Match'!I4,Table7[Customer Name],0))</f>
        <v>Beta Store</v>
      </c>
      <c r="K4" s="13">
        <f>INDEX(Table7[Quantity],MATCH('Index-Match'!F4,Table7[Sale ID],0))</f>
        <v>3</v>
      </c>
      <c r="L4" s="13">
        <f>INDEX(Table7[Product price],MATCH('Index-Match'!F4,Table7[Sale ID],0))</f>
        <v>900</v>
      </c>
      <c r="M4" s="13">
        <f>INDEX(Table7[Total sale],MATCH('Index-Match'!F4,Table7[Sale ID],0))</f>
        <v>2700</v>
      </c>
    </row>
    <row r="5" spans="1:13" ht="17.25" x14ac:dyDescent="0.25">
      <c r="C5" s="18" t="s">
        <v>1</v>
      </c>
      <c r="F5" s="14" t="s">
        <v>99</v>
      </c>
      <c r="G5" s="12" t="str">
        <f>INDEX('Advance table'!K5:K19,MATCH('Index-Match'!F5,'Advance table'!H5:H19,0))</f>
        <v>Headphones</v>
      </c>
      <c r="H5" s="12" t="str">
        <f>INDEX(Table7[Category],MATCH('Index-Match'!G5,Table7[Product Name],0))</f>
        <v>Electronics</v>
      </c>
      <c r="I5" s="13" t="str">
        <f>INDEX(Table7[Customer Name],MATCH(F5,Table7[Sale ID],0))</f>
        <v>Rahul Mehta</v>
      </c>
      <c r="J5" s="13" t="str">
        <f>INDEX(Table7[Store name],MATCH('Index-Match'!I5,Table7[Customer Name],0))</f>
        <v>Central Store</v>
      </c>
      <c r="K5" s="13">
        <f>INDEX(Table7[Quantity],MATCH('Index-Match'!F5,Table7[Sale ID],0))</f>
        <v>2</v>
      </c>
      <c r="L5" s="13">
        <f>INDEX(Table7[Product price],MATCH('Index-Match'!F5,Table7[Sale ID],0))</f>
        <v>4500</v>
      </c>
      <c r="M5" s="13">
        <f>INDEX(Table7[Total sale],MATCH('Index-Match'!F5,Table7[Sale ID],0))</f>
        <v>9000</v>
      </c>
    </row>
    <row r="6" spans="1:13" ht="17.25" x14ac:dyDescent="0.25">
      <c r="C6" s="18" t="s">
        <v>38</v>
      </c>
      <c r="F6" s="15" t="s">
        <v>100</v>
      </c>
      <c r="G6" s="12" t="str">
        <f>INDEX('Advance table'!K6:K20,MATCH('Index-Match'!F6,'Advance table'!H6:H20,0))</f>
        <v>Monitor</v>
      </c>
      <c r="H6" s="12" t="str">
        <f>INDEX(Table7[Category],MATCH('Index-Match'!G6,Table7[Product Name],0))</f>
        <v>Electronics</v>
      </c>
      <c r="I6" s="13" t="str">
        <f>INDEX(Table7[Customer Name],MATCH(F6,Table7[Sale ID],0))</f>
        <v>Sneha Joshi</v>
      </c>
      <c r="J6" s="13" t="str">
        <f>INDEX(Table7[Store name],MATCH('Index-Match'!I6,Table7[Customer Name],0))</f>
        <v>Digital Hub</v>
      </c>
      <c r="K6" s="13">
        <f>INDEX(Table7[Quantity],MATCH('Index-Match'!F6,Table7[Sale ID],0))</f>
        <v>1</v>
      </c>
      <c r="L6" s="13">
        <f>INDEX(Table7[Product price],MATCH('Index-Match'!F6,Table7[Sale ID],0))</f>
        <v>16000</v>
      </c>
      <c r="M6" s="13">
        <f>INDEX(Table7[Total sale],MATCH('Index-Match'!F6,Table7[Sale ID],0))</f>
        <v>16000</v>
      </c>
    </row>
    <row r="7" spans="1:13" ht="17.25" x14ac:dyDescent="0.25">
      <c r="C7" s="18" t="s">
        <v>82</v>
      </c>
      <c r="F7" s="14" t="s">
        <v>101</v>
      </c>
      <c r="G7" s="12" t="str">
        <f>INDEX('Advance table'!K7:K21,MATCH('Index-Match'!F7,'Advance table'!H7:H21,0))</f>
        <v>Smartphone</v>
      </c>
      <c r="H7" s="12" t="str">
        <f>INDEX(Table7[Category],MATCH('Index-Match'!G7,Table7[Product Name],0))</f>
        <v>Electronics</v>
      </c>
      <c r="I7" s="13" t="str">
        <f>INDEX(Table7[Customer Name],MATCH(F7,Table7[Sale ID],0))</f>
        <v>Arjun Singh</v>
      </c>
      <c r="J7" s="13" t="str">
        <f>INDEX(Table7[Store name],MATCH('Index-Match'!I7,Table7[Customer Name],0))</f>
        <v>Smart World</v>
      </c>
      <c r="K7" s="13">
        <f>INDEX(Table7[Quantity],MATCH('Index-Match'!F7,Table7[Sale ID],0))</f>
        <v>2</v>
      </c>
      <c r="L7" s="13">
        <f>INDEX(Table7[Product price],MATCH('Index-Match'!F7,Table7[Sale ID],0))</f>
        <v>32000</v>
      </c>
      <c r="M7" s="13">
        <f>INDEX(Table7[Total sale],MATCH('Index-Match'!F7,Table7[Sale ID],0))</f>
        <v>64000</v>
      </c>
    </row>
    <row r="8" spans="1:13" ht="17.25" x14ac:dyDescent="0.25">
      <c r="C8" s="18" t="s">
        <v>95</v>
      </c>
      <c r="F8" s="15" t="s">
        <v>102</v>
      </c>
      <c r="G8" s="12" t="str">
        <f>INDEX('Advance table'!K8:K22,MATCH('Index-Match'!F8,'Advance table'!H8:H22,0))</f>
        <v>Office Chair</v>
      </c>
      <c r="H8" s="12" t="str">
        <f>INDEX(Table7[Category],MATCH('Index-Match'!G8,Table7[Product Name],0))</f>
        <v>Furniture</v>
      </c>
      <c r="I8" s="13" t="str">
        <f>INDEX(Table7[Customer Name],MATCH(F8,Table7[Sale ID],0))</f>
        <v>Neha Verma</v>
      </c>
      <c r="J8" s="13" t="str">
        <f>INDEX(Table7[Store name],MATCH('Index-Match'!I8,Table7[Customer Name],0))</f>
        <v>Alpha Store</v>
      </c>
      <c r="K8" s="13">
        <f>INDEX(Table7[Quantity],MATCH('Index-Match'!F8,Table7[Sale ID],0))</f>
        <v>1</v>
      </c>
      <c r="L8" s="13">
        <f>INDEX(Table7[Product price],MATCH('Index-Match'!F8,Table7[Sale ID],0))</f>
        <v>8500</v>
      </c>
      <c r="M8" s="13">
        <f>INDEX(Table7[Total sale],MATCH('Index-Match'!F8,Table7[Sale ID],0))</f>
        <v>8500</v>
      </c>
    </row>
    <row r="9" spans="1:13" ht="17.25" x14ac:dyDescent="0.25">
      <c r="C9" s="18" t="s">
        <v>3</v>
      </c>
      <c r="F9" s="14" t="s">
        <v>103</v>
      </c>
      <c r="G9" s="12" t="str">
        <f>INDEX('Advance table'!K9:K23,MATCH('Index-Match'!F9,'Advance table'!H9:H23,0))</f>
        <v>Printer</v>
      </c>
      <c r="H9" s="12" t="str">
        <f>INDEX(Table7[Category],MATCH('Index-Match'!G9,Table7[Product Name],0))</f>
        <v>Electronics</v>
      </c>
      <c r="I9" s="13" t="str">
        <f>INDEX(Table7[Customer Name],MATCH(F9,Table7[Sale ID],0))</f>
        <v>Rohan Gupta</v>
      </c>
      <c r="J9" s="13" t="str">
        <f>INDEX(Table7[Store name],MATCH('Index-Match'!I9,Table7[Customer Name],0))</f>
        <v>Beta Store</v>
      </c>
      <c r="K9" s="13">
        <f>INDEX(Table7[Quantity],MATCH('Index-Match'!F9,Table7[Sale ID],0))</f>
        <v>1</v>
      </c>
      <c r="L9" s="13">
        <f>INDEX(Table7[Product price],MATCH('Index-Match'!F9,Table7[Sale ID],0))</f>
        <v>12500</v>
      </c>
      <c r="M9" s="13">
        <f>INDEX(Table7[Total sale],MATCH('Index-Match'!F9,Table7[Sale ID],0))</f>
        <v>12500</v>
      </c>
    </row>
    <row r="10" spans="1:13" ht="17.25" x14ac:dyDescent="0.25">
      <c r="C10" s="18" t="s">
        <v>154</v>
      </c>
      <c r="F10" s="15" t="s">
        <v>104</v>
      </c>
      <c r="G10" s="12" t="str">
        <f>INDEX('Advance table'!K10:K24,MATCH('Index-Match'!F10,'Advance table'!H10:H24,0))</f>
        <v>Webcam</v>
      </c>
      <c r="H10" s="12" t="str">
        <f>INDEX(Table7[Category],MATCH('Index-Match'!G10,Table7[Product Name],0))</f>
        <v>Accessories</v>
      </c>
      <c r="I10" s="13" t="str">
        <f>INDEX(Table7[Customer Name],MATCH(F10,Table7[Sale ID],0))</f>
        <v>Pooja Sharma</v>
      </c>
      <c r="J10" s="13" t="str">
        <f>INDEX(Table7[Store name],MATCH('Index-Match'!I10,Table7[Customer Name],0))</f>
        <v>Central Store</v>
      </c>
      <c r="K10" s="13">
        <f>INDEX(Table7[Quantity],MATCH('Index-Match'!F10,Table7[Sale ID],0))</f>
        <v>2</v>
      </c>
      <c r="L10" s="13">
        <f>INDEX(Table7[Product price],MATCH('Index-Match'!F10,Table7[Sale ID],0))</f>
        <v>3500</v>
      </c>
      <c r="M10" s="13">
        <f>INDEX(Table7[Total sale],MATCH('Index-Match'!F10,Table7[Sale ID],0))</f>
        <v>7000</v>
      </c>
    </row>
    <row r="11" spans="1:13" x14ac:dyDescent="0.25">
      <c r="F11" s="14" t="s">
        <v>105</v>
      </c>
      <c r="G11" s="12" t="str">
        <f>INDEX('Advance table'!K11:K25,MATCH('Index-Match'!F11,'Advance table'!H11:H25,0))</f>
        <v>Keyboard</v>
      </c>
      <c r="H11" s="12" t="str">
        <f>INDEX(Table7[Category],MATCH('Index-Match'!G11,Table7[Product Name],0))</f>
        <v>Accessories</v>
      </c>
      <c r="I11" s="13" t="str">
        <f>INDEX(Table7[Customer Name],MATCH(F11,Table7[Sale ID],0))</f>
        <v>Karan Desai</v>
      </c>
      <c r="J11" s="13" t="str">
        <f>INDEX(Table7[Store name],MATCH('Index-Match'!I11,Table7[Customer Name],0))</f>
        <v>Digital Hub</v>
      </c>
      <c r="K11" s="13">
        <f>INDEX(Table7[Quantity],MATCH('Index-Match'!F11,Table7[Sale ID],0))</f>
        <v>4</v>
      </c>
      <c r="L11" s="13">
        <f>INDEX(Table7[Product price],MATCH('Index-Match'!F11,Table7[Sale ID],0))</f>
        <v>1800</v>
      </c>
      <c r="M11" s="13">
        <f>INDEX(Table7[Total sale],MATCH('Index-Match'!F11,Table7[Sale ID],0))</f>
        <v>7200</v>
      </c>
    </row>
    <row r="12" spans="1:13" x14ac:dyDescent="0.25">
      <c r="F12" s="15" t="s">
        <v>106</v>
      </c>
      <c r="G12" s="12" t="str">
        <f>INDEX('Advance table'!K12:K26,MATCH('Index-Match'!F12,'Advance table'!H12:H26,0))</f>
        <v>Office Desk</v>
      </c>
      <c r="H12" s="12" t="str">
        <f>INDEX(Table7[Category],MATCH('Index-Match'!G12,Table7[Product Name],0))</f>
        <v>Furniture</v>
      </c>
      <c r="I12" s="13" t="str">
        <f>INDEX(Table7[Customer Name],MATCH(F12,Table7[Sale ID],0))</f>
        <v>Anjali Nair</v>
      </c>
      <c r="J12" s="13" t="str">
        <f>INDEX(Table7[Store name],MATCH('Index-Match'!I12,Table7[Customer Name],0))</f>
        <v>Smart World</v>
      </c>
      <c r="K12" s="13">
        <f>INDEX(Table7[Quantity],MATCH('Index-Match'!F12,Table7[Sale ID],0))</f>
        <v>1</v>
      </c>
      <c r="L12" s="13">
        <f>INDEX(Table7[Product price],MATCH('Index-Match'!F12,Table7[Sale ID],0))</f>
        <v>12000</v>
      </c>
      <c r="M12" s="13">
        <f>INDEX(Table7[Total sale],MATCH('Index-Match'!F12,Table7[Sale ID],0))</f>
        <v>12000</v>
      </c>
    </row>
    <row r="13" spans="1:13" x14ac:dyDescent="0.25">
      <c r="F13" s="14" t="s">
        <v>107</v>
      </c>
      <c r="G13" s="12" t="str">
        <f>INDEX('Advance table'!K13:K27,MATCH('Index-Match'!F13,'Advance table'!H13:H27,0))</f>
        <v>Mouse</v>
      </c>
      <c r="H13" s="12" t="str">
        <f>INDEX(Table7[Category],MATCH('Index-Match'!G13,Table7[Product Name],0))</f>
        <v>Accessories</v>
      </c>
      <c r="I13" s="13" t="str">
        <f>INDEX(Table7[Customer Name],MATCH(F13,Table7[Sale ID],0))</f>
        <v>Amit Patel</v>
      </c>
      <c r="J13" s="13" t="str">
        <f>INDEX(Table7[Store name],MATCH('Index-Match'!I13,Table7[Customer Name],0))</f>
        <v>Alpha Store</v>
      </c>
      <c r="K13" s="13">
        <f>INDEX(Table7[Quantity],MATCH('Index-Match'!F13,Table7[Sale ID],0))</f>
        <v>5</v>
      </c>
      <c r="L13" s="13">
        <f>INDEX(Table7[Product price],MATCH('Index-Match'!F13,Table7[Sale ID],0))</f>
        <v>900</v>
      </c>
      <c r="M13" s="13">
        <f>INDEX(Table7[Total sale],MATCH('Index-Match'!F13,Table7[Sale ID],0))</f>
        <v>4500</v>
      </c>
    </row>
    <row r="14" spans="1:13" x14ac:dyDescent="0.25">
      <c r="F14" s="15" t="s">
        <v>108</v>
      </c>
      <c r="G14" s="12" t="str">
        <f>INDEX('Advance table'!K14:K28,MATCH('Index-Match'!F14,'Advance table'!H14:H28,0))</f>
        <v>Headphones</v>
      </c>
      <c r="H14" s="12" t="str">
        <f>INDEX(Table7[Category],MATCH('Index-Match'!G14,Table7[Product Name],0))</f>
        <v>Electronics</v>
      </c>
      <c r="I14" s="13" t="str">
        <f>INDEX(Table7[Customer Name],MATCH(F14,Table7[Sale ID],0))</f>
        <v>Priya Shah</v>
      </c>
      <c r="J14" s="13" t="str">
        <f>INDEX(Table7[Store name],MATCH('Index-Match'!I14,Table7[Customer Name],0))</f>
        <v>Beta Store</v>
      </c>
      <c r="K14" s="13">
        <f>INDEX(Table7[Quantity],MATCH('Index-Match'!F14,Table7[Sale ID],0))</f>
        <v>3</v>
      </c>
      <c r="L14" s="13">
        <f>INDEX(Table7[Product price],MATCH('Index-Match'!F14,Table7[Sale ID],0))</f>
        <v>4500</v>
      </c>
      <c r="M14" s="13">
        <f>INDEX(Table7[Total sale],MATCH('Index-Match'!F14,Table7[Sale ID],0))</f>
        <v>13500</v>
      </c>
    </row>
    <row r="15" spans="1:13" x14ac:dyDescent="0.25">
      <c r="F15" s="14" t="s">
        <v>109</v>
      </c>
      <c r="G15" s="12" t="str">
        <f>INDEX('Advance table'!K15:K29,MATCH('Index-Match'!F15,'Advance table'!H15:H29,0))</f>
        <v>Laptop</v>
      </c>
      <c r="H15" s="12" t="str">
        <f>INDEX(Table7[Category],MATCH('Index-Match'!G15,Table7[Product Name],0))</f>
        <v>Electronics</v>
      </c>
      <c r="I15" s="13" t="str">
        <f>INDEX(Table7[Customer Name],MATCH(F15,Table7[Sale ID],0))</f>
        <v>Rahul Mehta</v>
      </c>
      <c r="J15" s="13" t="str">
        <f>INDEX(Table7[Store name],MATCH('Index-Match'!I15,Table7[Customer Name],0))</f>
        <v>Central Store</v>
      </c>
      <c r="K15" s="13">
        <f>INDEX(Table7[Quantity],MATCH('Index-Match'!F15,Table7[Sale ID],0))</f>
        <v>1</v>
      </c>
      <c r="L15" s="13">
        <f>INDEX(Table7[Product price],MATCH('Index-Match'!F15,Table7[Sale ID],0))</f>
        <v>55000</v>
      </c>
      <c r="M15" s="13">
        <f>INDEX(Table7[Total sale],MATCH('Index-Match'!F15,Table7[Sale ID],0))</f>
        <v>55000</v>
      </c>
    </row>
    <row r="16" spans="1:13" x14ac:dyDescent="0.25">
      <c r="F16" s="15" t="s">
        <v>110</v>
      </c>
      <c r="G16" s="12" t="str">
        <f>INDEX('Advance table'!K16:K30,MATCH('Index-Match'!F16,'Advance table'!H16:H30,0))</f>
        <v>Monitor</v>
      </c>
      <c r="H16" s="12" t="str">
        <f>INDEX(Table7[Category],MATCH('Index-Match'!G16,Table7[Product Name],0))</f>
        <v>Electronics</v>
      </c>
      <c r="I16" s="13" t="str">
        <f>INDEX(Table7[Customer Name],MATCH(F16,Table7[Sale ID],0))</f>
        <v>Sneha Joshi</v>
      </c>
      <c r="J16" s="13" t="str">
        <f>INDEX(Table7[Store name],MATCH('Index-Match'!I16,Table7[Customer Name],0))</f>
        <v>Digital Hub</v>
      </c>
      <c r="K16" s="13">
        <f>INDEX(Table7[Quantity],MATCH('Index-Match'!F16,Table7[Sale ID],0))</f>
        <v>2</v>
      </c>
      <c r="L16" s="13">
        <f>INDEX(Table7[Product price],MATCH('Index-Match'!F16,Table7[Sale ID],0))</f>
        <v>16000</v>
      </c>
      <c r="M16" s="13">
        <f>INDEX(Table7[Total sale],MATCH('Index-Match'!F16,Table7[Sale ID],0))</f>
        <v>32000</v>
      </c>
    </row>
    <row r="17" spans="1:13" x14ac:dyDescent="0.25">
      <c r="F17" s="14" t="s">
        <v>111</v>
      </c>
      <c r="G17" s="12" t="str">
        <f>INDEX('Advance table'!K17:K31,MATCH('Index-Match'!F17,'Advance table'!H17:H31,0))</f>
        <v>Smartphone</v>
      </c>
      <c r="H17" s="12" t="str">
        <f>INDEX(Table7[Category],MATCH('Index-Match'!G17,Table7[Product Name],0))</f>
        <v>Electronics</v>
      </c>
      <c r="I17" s="13" t="str">
        <f>INDEX(Table7[Customer Name],MATCH(F17,Table7[Sale ID],0))</f>
        <v>Arjun Singh</v>
      </c>
      <c r="J17" s="13" t="str">
        <f>INDEX(Table7[Store name],MATCH('Index-Match'!I17,Table7[Customer Name],0))</f>
        <v>Smart World</v>
      </c>
      <c r="K17" s="13">
        <f>INDEX(Table7[Quantity],MATCH('Index-Match'!F17,Table7[Sale ID],0))</f>
        <v>1</v>
      </c>
      <c r="L17" s="13">
        <f>INDEX(Table7[Product price],MATCH('Index-Match'!F17,Table7[Sale ID],0))</f>
        <v>32000</v>
      </c>
      <c r="M17" s="13">
        <f>INDEX(Table7[Total sale],MATCH('Index-Match'!F17,Table7[Sale ID],0))</f>
        <v>32000</v>
      </c>
    </row>
    <row r="21" spans="1:13" ht="17.25" x14ac:dyDescent="0.25">
      <c r="A21" t="s">
        <v>157</v>
      </c>
      <c r="C21" s="16" t="s">
        <v>158</v>
      </c>
    </row>
    <row r="22" spans="1:13" ht="17.25" x14ac:dyDescent="0.25">
      <c r="C22" s="16" t="s">
        <v>159</v>
      </c>
      <c r="G22" s="8" t="s">
        <v>94</v>
      </c>
      <c r="H22" s="8" t="s">
        <v>0</v>
      </c>
      <c r="I22" s="8" t="s">
        <v>1</v>
      </c>
      <c r="J22" s="8" t="s">
        <v>2</v>
      </c>
      <c r="K22" s="8" t="s">
        <v>3</v>
      </c>
      <c r="L22" s="8" t="s">
        <v>4</v>
      </c>
    </row>
    <row r="23" spans="1:13" ht="34.5" x14ac:dyDescent="0.25">
      <c r="C23" s="16" t="s">
        <v>160</v>
      </c>
      <c r="G23" s="13" t="s">
        <v>19</v>
      </c>
      <c r="H23" s="13" t="str">
        <f>INDEX(product[Product Name],MATCH('Index-Match'!G23,product[Product id],0))</f>
        <v>Mouse</v>
      </c>
      <c r="I23" s="13" t="str">
        <f>INDEX(product[Category],MATCH('Index-Match'!H23,product[Product Name],0))</f>
        <v>Accessories</v>
      </c>
      <c r="J23" s="13" t="str">
        <f>INDEX(product[Brand],MATCH('Index-Match'!H23,product[Product Name],0))</f>
        <v>HP</v>
      </c>
      <c r="K23" s="13">
        <f>INDEX(product[Price],MATCH('Index-Match'!J23,product[Brand],0))</f>
        <v>900</v>
      </c>
      <c r="L23" s="13">
        <f>INDEX(product[Stock],MATCH('Index-Match'!K23,product[Price],0))</f>
        <v>120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FB6767-7604-4F9D-BDF9-AAB0377C64FF}">
          <x14:formula1>
            <xm:f>Products!$A$2:$A$11</xm:f>
          </x14:formula1>
          <xm:sqref>G23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16D1-D55D-461D-9C61-238C201B2713}">
  <dimension ref="B2:R23"/>
  <sheetViews>
    <sheetView workbookViewId="0">
      <selection activeCell="C18" sqref="C18"/>
    </sheetView>
  </sheetViews>
  <sheetFormatPr defaultRowHeight="15" x14ac:dyDescent="0.25"/>
  <cols>
    <col min="4" max="4" width="34.140625" bestFit="1" customWidth="1"/>
    <col min="7" max="7" width="13.7109375" bestFit="1" customWidth="1"/>
    <col min="8" max="8" width="12.5703125" bestFit="1" customWidth="1"/>
    <col min="9" max="9" width="13.7109375" bestFit="1" customWidth="1"/>
    <col min="10" max="10" width="16.42578125" bestFit="1" customWidth="1"/>
    <col min="11" max="11" width="14.7109375" bestFit="1" customWidth="1"/>
    <col min="12" max="12" width="12.85546875" bestFit="1" customWidth="1"/>
    <col min="13" max="13" width="11" bestFit="1" customWidth="1"/>
    <col min="14" max="14" width="9.28515625" bestFit="1" customWidth="1"/>
    <col min="15" max="15" width="3.85546875" bestFit="1" customWidth="1"/>
    <col min="16" max="16" width="6" bestFit="1" customWidth="1"/>
    <col min="17" max="17" width="9.42578125" bestFit="1" customWidth="1"/>
    <col min="18" max="18" width="10.42578125" bestFit="1" customWidth="1"/>
  </cols>
  <sheetData>
    <row r="2" spans="2:18" ht="17.25" x14ac:dyDescent="0.25">
      <c r="B2" t="s">
        <v>161</v>
      </c>
      <c r="D2" s="25" t="s">
        <v>162</v>
      </c>
      <c r="H2" s="9" t="s">
        <v>93</v>
      </c>
      <c r="I2" s="9" t="s">
        <v>0</v>
      </c>
      <c r="J2" s="9" t="s">
        <v>1</v>
      </c>
      <c r="K2" s="9" t="s">
        <v>2</v>
      </c>
      <c r="L2" s="9" t="s">
        <v>166</v>
      </c>
      <c r="M2" s="9" t="s">
        <v>165</v>
      </c>
      <c r="N2" s="9" t="s">
        <v>167</v>
      </c>
      <c r="O2" s="9" t="s">
        <v>168</v>
      </c>
      <c r="P2" s="9" t="s">
        <v>3</v>
      </c>
      <c r="Q2" s="9" t="s">
        <v>152</v>
      </c>
      <c r="R2" s="9" t="s">
        <v>96</v>
      </c>
    </row>
    <row r="3" spans="2:18" ht="17.25" x14ac:dyDescent="0.25">
      <c r="D3" s="16" t="s">
        <v>163</v>
      </c>
      <c r="H3" s="23" t="s">
        <v>110</v>
      </c>
      <c r="I3" s="23" t="str">
        <f>INDEX('Index-Match'!G3:G17,MATCH(H3,'Index-Match'!F3:F17,0))</f>
        <v>Monitor</v>
      </c>
      <c r="J3" s="23" t="str">
        <f>INDEX('Index-Match'!H3:H17,MATCH(I3,'Index-Match'!G3:G17,0))</f>
        <v>Electronics</v>
      </c>
      <c r="K3" s="23" t="str">
        <f>INDEX(product[Brand],MATCH('Task-20 invoice'!I3,product[Product Name],0))</f>
        <v>LG</v>
      </c>
      <c r="L3" s="23" t="e">
        <f>INDEX(customers[City],MATCH('Task-20 invoice'!#REF!,customers[Customer Name],0))</f>
        <v>#REF!</v>
      </c>
      <c r="M3" s="23" t="str">
        <f>INDEX('Index-Match'!J3:J17,MATCH(H3,'Index-Match'!F3:F17,0))</f>
        <v>Digital Hub</v>
      </c>
      <c r="N3" s="23" t="str">
        <f>INDEX(store[City],MATCH('Task-20 invoice'!M3,'Index-Match'!J3:J17,0))</f>
        <v>Pune</v>
      </c>
      <c r="O3" s="13">
        <f>INDEX(Table7[Quantity],MATCH('Task-20 invoice'!H3,Table7[Sale ID],0))</f>
        <v>2</v>
      </c>
      <c r="P3" s="13">
        <f>INDEX(Table7[Product price],MATCH('Task-20 invoice'!H3,Table7[Sale ID],0))</f>
        <v>16000</v>
      </c>
      <c r="Q3" s="13">
        <f>INDEX(Table7[Total sale],MATCH('Task-20 invoice'!H3,Table7[Sale ID],0))</f>
        <v>32000</v>
      </c>
      <c r="R3" s="24">
        <f>INDEX(Sales[Date],MATCH('Task-20 invoice'!H3,Sales[Sale ID],0))</f>
        <v>46036</v>
      </c>
    </row>
    <row r="4" spans="2:18" ht="102.75" customHeight="1" x14ac:dyDescent="0.25">
      <c r="D4" s="16" t="s">
        <v>164</v>
      </c>
    </row>
    <row r="5" spans="2:18" ht="15.75" thickBot="1" x14ac:dyDescent="0.3"/>
    <row r="6" spans="2:18" x14ac:dyDescent="0.25">
      <c r="G6" s="51" t="s">
        <v>169</v>
      </c>
      <c r="H6" s="52"/>
      <c r="I6" s="52"/>
      <c r="J6" s="52"/>
      <c r="K6" s="53"/>
    </row>
    <row r="7" spans="2:18" x14ac:dyDescent="0.25">
      <c r="G7" s="54"/>
      <c r="H7" s="55"/>
      <c r="I7" s="55"/>
      <c r="J7" s="55"/>
      <c r="K7" s="56"/>
    </row>
    <row r="8" spans="2:18" x14ac:dyDescent="0.25">
      <c r="G8" s="29" t="s">
        <v>171</v>
      </c>
      <c r="H8" s="35" t="s">
        <v>99</v>
      </c>
      <c r="I8" s="27"/>
      <c r="J8" s="31" t="s">
        <v>179</v>
      </c>
      <c r="K8" s="34">
        <f>INDEX(Table7[Date],MATCH('Task-20 invoice'!H8,Table7[Sale ID],0))</f>
        <v>46025</v>
      </c>
    </row>
    <row r="9" spans="2:18" x14ac:dyDescent="0.25">
      <c r="G9" s="30" t="s">
        <v>172</v>
      </c>
      <c r="H9" s="36" t="str">
        <f>INDEX(Table7[Brand],MATCH('Task-20 invoice'!H8,Table7[Sale ID],0))</f>
        <v>Sony</v>
      </c>
      <c r="I9" s="26"/>
      <c r="J9" s="26"/>
      <c r="K9" s="28"/>
    </row>
    <row r="10" spans="2:18" x14ac:dyDescent="0.25">
      <c r="G10" s="30" t="s">
        <v>173</v>
      </c>
      <c r="H10" s="36" t="str">
        <f>INDEX(Table7[Store name],MATCH('Task-20 invoice'!H8,Table7[Sale ID],0))</f>
        <v>Central Store</v>
      </c>
      <c r="I10" s="26"/>
      <c r="J10" s="32" t="s">
        <v>170</v>
      </c>
      <c r="K10" s="37" t="str">
        <f>INDEX(Table7[Customer Name],MATCH('Task-20 invoice'!H8,Table7[Sale ID],0))</f>
        <v>Rahul Mehta</v>
      </c>
    </row>
    <row r="11" spans="2:18" x14ac:dyDescent="0.25">
      <c r="G11" s="30" t="s">
        <v>174</v>
      </c>
      <c r="H11" s="36" t="str">
        <f>INDEX(Table7[Store City],MATCH('Task-20 invoice'!H10,Table7[Store name],0))</f>
        <v>Mumbai</v>
      </c>
      <c r="I11" s="26"/>
      <c r="J11" s="32" t="s">
        <v>175</v>
      </c>
      <c r="K11" s="37" t="str">
        <f>INDEX(Table7[Customer city],MATCH('Task-20 invoice'!K10,Table7[Customer Name],0))</f>
        <v>Mumbai</v>
      </c>
    </row>
    <row r="12" spans="2:18" ht="7.5" customHeight="1" x14ac:dyDescent="0.25">
      <c r="G12" s="30"/>
      <c r="H12" s="36"/>
      <c r="I12" s="26"/>
      <c r="J12" s="32"/>
      <c r="K12" s="37"/>
    </row>
    <row r="13" spans="2:18" x14ac:dyDescent="0.25">
      <c r="G13" s="38" t="s">
        <v>0</v>
      </c>
      <c r="H13" s="39" t="s">
        <v>1</v>
      </c>
      <c r="I13" s="39" t="s">
        <v>156</v>
      </c>
      <c r="J13" s="39" t="s">
        <v>176</v>
      </c>
      <c r="K13" s="40" t="s">
        <v>177</v>
      </c>
    </row>
    <row r="14" spans="2:18" x14ac:dyDescent="0.25">
      <c r="G14" s="47" t="str">
        <f>INDEX(Table7[Product Name],MATCH('Task-20 invoice'!H8,Table7[Sale ID],0))</f>
        <v>Headphones</v>
      </c>
      <c r="H14" s="48" t="str">
        <f>INDEX(Table7[Category],MATCH('Task-20 invoice'!G14,Table7[Product Name],0))</f>
        <v>Electronics</v>
      </c>
      <c r="I14" s="48">
        <f>INDEX(Table7[Quantity],MATCH('Task-20 invoice'!H8,Table7[Sale ID],0))</f>
        <v>2</v>
      </c>
      <c r="J14" s="48">
        <f>INDEX(Table7[Product price],MATCH('Task-20 invoice'!H8,Table7[Sale ID],0))</f>
        <v>4500</v>
      </c>
      <c r="K14" s="49">
        <f>INDEX(Table7[Total sale],MATCH('Task-20 invoice'!H8,Table7[Sale ID],0))</f>
        <v>9000</v>
      </c>
    </row>
    <row r="15" spans="2:18" x14ac:dyDescent="0.25">
      <c r="G15" s="41"/>
      <c r="H15" s="9"/>
      <c r="I15" s="9"/>
      <c r="J15" s="9"/>
      <c r="K15" s="42"/>
    </row>
    <row r="16" spans="2:18" x14ac:dyDescent="0.25">
      <c r="G16" s="41"/>
      <c r="H16" s="9"/>
      <c r="I16" s="9"/>
      <c r="J16" s="9"/>
      <c r="K16" s="42"/>
    </row>
    <row r="17" spans="7:11" x14ac:dyDescent="0.25">
      <c r="G17" s="41"/>
      <c r="H17" s="9"/>
      <c r="I17" s="9"/>
      <c r="J17" s="9"/>
      <c r="K17" s="42"/>
    </row>
    <row r="18" spans="7:11" x14ac:dyDescent="0.25">
      <c r="G18" s="41"/>
      <c r="H18" s="9"/>
      <c r="I18" s="9"/>
      <c r="J18" s="9"/>
      <c r="K18" s="42"/>
    </row>
    <row r="19" spans="7:11" x14ac:dyDescent="0.25">
      <c r="G19" s="41"/>
      <c r="H19" s="9"/>
      <c r="I19" s="9"/>
      <c r="J19" s="9"/>
      <c r="K19" s="42"/>
    </row>
    <row r="20" spans="7:11" x14ac:dyDescent="0.25">
      <c r="G20" s="41"/>
      <c r="H20" s="9"/>
      <c r="I20" s="9"/>
      <c r="J20" s="9"/>
      <c r="K20" s="42"/>
    </row>
    <row r="21" spans="7:11" x14ac:dyDescent="0.25">
      <c r="G21" s="41"/>
      <c r="H21" s="9"/>
      <c r="I21" s="9"/>
      <c r="J21" s="9"/>
      <c r="K21" s="42"/>
    </row>
    <row r="22" spans="7:11" x14ac:dyDescent="0.25">
      <c r="G22" s="41"/>
      <c r="H22" s="9"/>
      <c r="I22" s="9"/>
      <c r="J22" s="9"/>
      <c r="K22" s="42"/>
    </row>
    <row r="23" spans="7:11" ht="15.75" thickBot="1" x14ac:dyDescent="0.3">
      <c r="G23" s="43"/>
      <c r="H23" s="44"/>
      <c r="I23" s="44"/>
      <c r="J23" s="45" t="s">
        <v>178</v>
      </c>
      <c r="K23" s="46">
        <f>SUM(K14:K22)</f>
        <v>9000</v>
      </c>
    </row>
  </sheetData>
  <mergeCells count="1">
    <mergeCell ref="G6:K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16C3D4-A01B-445D-BAE6-0D4514114E1C}">
          <x14:formula1>
            <xm:f>Sales!$A$2:$A$16</xm:f>
          </x14:formula1>
          <xm:sqref>H3 H8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5BD2-9D24-417E-A088-93A1ECB5F205}">
  <dimension ref="A2:X34"/>
  <sheetViews>
    <sheetView topLeftCell="M1" workbookViewId="0">
      <selection activeCell="X5" sqref="X5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13.7109375" bestFit="1" customWidth="1"/>
    <col min="4" max="4" width="11.28515625" bestFit="1" customWidth="1"/>
    <col min="5" max="5" width="10.7109375" bestFit="1" customWidth="1"/>
    <col min="9" max="9" width="14.7109375" bestFit="1" customWidth="1"/>
    <col min="10" max="10" width="12.28515625" customWidth="1"/>
    <col min="11" max="11" width="15.7109375" customWidth="1"/>
    <col min="12" max="13" width="13.7109375" customWidth="1"/>
    <col min="14" max="14" width="14" customWidth="1"/>
    <col min="15" max="17" width="17.42578125" customWidth="1"/>
    <col min="18" max="18" width="19.140625" bestFit="1" customWidth="1"/>
    <col min="19" max="19" width="11.85546875" customWidth="1"/>
    <col min="20" max="21" width="13.28515625" customWidth="1"/>
    <col min="22" max="22" width="10.85546875" customWidth="1"/>
    <col min="23" max="23" width="14.85546875" customWidth="1"/>
    <col min="24" max="24" width="11.5703125" customWidth="1"/>
  </cols>
  <sheetData>
    <row r="2" spans="1:24" x14ac:dyDescent="0.25">
      <c r="B2" s="2" t="s">
        <v>37</v>
      </c>
      <c r="C2" s="3" t="s">
        <v>0</v>
      </c>
      <c r="D2" s="3" t="s">
        <v>1</v>
      </c>
      <c r="E2" s="3" t="s">
        <v>2</v>
      </c>
      <c r="H2" t="s">
        <v>93</v>
      </c>
      <c r="I2" t="s">
        <v>96</v>
      </c>
      <c r="J2" t="s">
        <v>94</v>
      </c>
      <c r="K2" t="s">
        <v>0</v>
      </c>
      <c r="L2" t="s">
        <v>1</v>
      </c>
      <c r="M2" t="s">
        <v>2</v>
      </c>
      <c r="N2" t="s">
        <v>80</v>
      </c>
      <c r="O2" t="s">
        <v>38</v>
      </c>
      <c r="P2" t="s">
        <v>180</v>
      </c>
      <c r="Q2" t="s">
        <v>181</v>
      </c>
      <c r="R2" t="s">
        <v>182</v>
      </c>
      <c r="S2" t="s">
        <v>81</v>
      </c>
      <c r="T2" t="s">
        <v>136</v>
      </c>
      <c r="U2" t="s">
        <v>183</v>
      </c>
      <c r="V2" t="s">
        <v>95</v>
      </c>
      <c r="W2" t="s">
        <v>149</v>
      </c>
      <c r="X2" t="s">
        <v>152</v>
      </c>
    </row>
    <row r="3" spans="1:24" x14ac:dyDescent="0.25">
      <c r="B3" s="4" t="s">
        <v>5</v>
      </c>
      <c r="C3" s="5" t="s">
        <v>6</v>
      </c>
      <c r="D3" s="5" t="s">
        <v>7</v>
      </c>
      <c r="E3" s="5" t="s">
        <v>8</v>
      </c>
      <c r="H3" t="s">
        <v>97</v>
      </c>
      <c r="I3" s="33">
        <f>INDEX(Sales[Date],MATCH(Table7[[#This Row],[Sale ID]],Sales[Sale ID],0))</f>
        <v>46023</v>
      </c>
      <c r="J3" t="s">
        <v>5</v>
      </c>
      <c r="K3" t="str">
        <f>INDEX(C3:C12,MATCH($J3,B3:B12,0))</f>
        <v>Laptop</v>
      </c>
      <c r="L3" t="str">
        <f>INDEX(D3:D12,MATCH(K3,C3:C12,0))</f>
        <v>Electronics</v>
      </c>
      <c r="M3" t="str">
        <f>INDEX($E$3:$E$12,MATCH(Table7[[#This Row],[Product ID]],$B$3:$B$12,0))</f>
        <v>Dell</v>
      </c>
      <c r="N3" t="s">
        <v>42</v>
      </c>
      <c r="O3" t="str">
        <f>INDEX($B$17:$B$26,MATCH(N3,$A$17:$A$26,0))</f>
        <v>Amit Patel</v>
      </c>
      <c r="P3" t="str">
        <f>INDEX($C$17:$C$26,MATCH(Table7[[#This Row],[Customer ID]],$A$17:$A$26,0))</f>
        <v>Ahmedabad</v>
      </c>
      <c r="Q3" t="str">
        <f>INDEX($D$17:$D$26,MATCH(Table7[[#This Row],[Customer ID]],$A$17:$A$26,0))</f>
        <v>Gujarat</v>
      </c>
      <c r="R3" t="str">
        <f>INDEX($E$17:$E$26,MATCH(Table7[[#This Row],[Customer ID]],$A$17:$A$26,0))</f>
        <v>Male</v>
      </c>
      <c r="S3" t="s">
        <v>83</v>
      </c>
      <c r="T3" t="str">
        <f>INDEX($B$30:$B$34,MATCH(S3,$A$30:$A$34,0))</f>
        <v>Alpha Store</v>
      </c>
      <c r="U3" t="str">
        <f>INDEX($C$30:$C$34,MATCH(Table7[[#This Row],[Store ID]],'Advance table'!$A$30:$A$34,0))</f>
        <v>Ahmedabad</v>
      </c>
      <c r="V3">
        <v>1</v>
      </c>
      <c r="W3">
        <v>55000</v>
      </c>
      <c r="X3">
        <v>55000</v>
      </c>
    </row>
    <row r="4" spans="1:24" x14ac:dyDescent="0.25">
      <c r="B4" s="6" t="s">
        <v>9</v>
      </c>
      <c r="C4" s="7" t="s">
        <v>10</v>
      </c>
      <c r="D4" s="7" t="s">
        <v>7</v>
      </c>
      <c r="E4" s="7" t="s">
        <v>11</v>
      </c>
      <c r="H4" t="s">
        <v>98</v>
      </c>
      <c r="I4" s="33">
        <f>INDEX(Sales[Date],MATCH(Table7[[#This Row],[Sale ID]],Sales[Sale ID],0))</f>
        <v>46024</v>
      </c>
      <c r="J4" t="s">
        <v>19</v>
      </c>
      <c r="K4" t="str">
        <f>INDEX(C4:C13,MATCH($J4,B4:B13,0))</f>
        <v>Mouse</v>
      </c>
      <c r="L4" t="str">
        <f t="shared" ref="L4:L10" si="0">INDEX(D4:D13,MATCH(K4,C4:C13,0))</f>
        <v>Accessories</v>
      </c>
      <c r="M4" t="str">
        <f>INDEX($E$3:$E$12,MATCH(Table7[[#This Row],[Product ID]],$B$3:$B$12,0))</f>
        <v>HP</v>
      </c>
      <c r="N4" t="s">
        <v>47</v>
      </c>
      <c r="O4" t="str">
        <f t="shared" ref="O4:O17" si="1">INDEX($B$17:$B$26,MATCH(N4,$A$17:$A$26,0))</f>
        <v>Priya Shah</v>
      </c>
      <c r="P4" t="str">
        <f>INDEX($C$17:$C$26,MATCH(Table7[[#This Row],[Customer ID]],$A$17:$A$26,0))</f>
        <v>Surat</v>
      </c>
      <c r="Q4" t="str">
        <f>INDEX($D$17:$D$26,MATCH(Table7[[#This Row],[Customer ID]],$A$17:$A$26,0))</f>
        <v>Gujarat</v>
      </c>
      <c r="R4" t="str">
        <f>INDEX($E$17:$E$26,MATCH(Table7[[#This Row],[Customer ID]],$A$17:$A$26,0))</f>
        <v>Female</v>
      </c>
      <c r="S4" t="s">
        <v>85</v>
      </c>
      <c r="T4" t="str">
        <f t="shared" ref="T4:T17" si="2">INDEX($B$30:$B$34,MATCH(S4,$A$30:$A$34,0))</f>
        <v>Beta Store</v>
      </c>
      <c r="U4" t="str">
        <f>INDEX($C$30:$C$34,MATCH(Table7[[#This Row],[Store ID]],'Advance table'!$A$30:$A$34,0))</f>
        <v>Surat</v>
      </c>
      <c r="V4">
        <v>3</v>
      </c>
      <c r="W4">
        <v>900</v>
      </c>
      <c r="X4">
        <v>2700</v>
      </c>
    </row>
    <row r="5" spans="1:24" x14ac:dyDescent="0.25">
      <c r="B5" s="4" t="s">
        <v>12</v>
      </c>
      <c r="C5" s="5" t="s">
        <v>13</v>
      </c>
      <c r="D5" s="5" t="s">
        <v>7</v>
      </c>
      <c r="E5" s="5" t="s">
        <v>14</v>
      </c>
      <c r="H5" t="s">
        <v>99</v>
      </c>
      <c r="I5" s="33">
        <f>INDEX(Sales[Date],MATCH(Table7[[#This Row],[Sale ID]],Sales[Sale ID],0))</f>
        <v>46025</v>
      </c>
      <c r="J5" t="s">
        <v>12</v>
      </c>
      <c r="K5" t="str">
        <f>INDEX(C5:C14,MATCH($J5,B5:B14,0))</f>
        <v>Headphones</v>
      </c>
      <c r="L5" t="str">
        <f t="shared" si="0"/>
        <v>Electronics</v>
      </c>
      <c r="M5" t="str">
        <f>INDEX($E$3:$E$12,MATCH(Table7[[#This Row],[Product ID]],$B$3:$B$12,0))</f>
        <v>Sony</v>
      </c>
      <c r="N5" t="s">
        <v>51</v>
      </c>
      <c r="O5" t="str">
        <f t="shared" si="1"/>
        <v>Rahul Mehta</v>
      </c>
      <c r="P5" t="str">
        <f>INDEX($C$17:$C$26,MATCH(Table7[[#This Row],[Customer ID]],$A$17:$A$26,0))</f>
        <v>Mumbai</v>
      </c>
      <c r="Q5" t="str">
        <f>INDEX($D$17:$D$26,MATCH(Table7[[#This Row],[Customer ID]],$A$17:$A$26,0))</f>
        <v>Maharashtra</v>
      </c>
      <c r="R5" t="str">
        <f>INDEX($E$17:$E$26,MATCH(Table7[[#This Row],[Customer ID]],$A$17:$A$26,0))</f>
        <v>Male</v>
      </c>
      <c r="S5" t="s">
        <v>87</v>
      </c>
      <c r="T5" t="str">
        <f t="shared" si="2"/>
        <v>Central Store</v>
      </c>
      <c r="U5" t="str">
        <f>INDEX($C$30:$C$34,MATCH(Table7[[#This Row],[Store ID]],'Advance table'!$A$30:$A$34,0))</f>
        <v>Mumbai</v>
      </c>
      <c r="V5">
        <v>2</v>
      </c>
      <c r="W5">
        <v>4500</v>
      </c>
      <c r="X5">
        <v>9000</v>
      </c>
    </row>
    <row r="6" spans="1:24" x14ac:dyDescent="0.25">
      <c r="B6" s="6" t="s">
        <v>15</v>
      </c>
      <c r="C6" s="7" t="s">
        <v>16</v>
      </c>
      <c r="D6" s="7" t="s">
        <v>17</v>
      </c>
      <c r="E6" s="7" t="s">
        <v>18</v>
      </c>
      <c r="H6" t="s">
        <v>100</v>
      </c>
      <c r="I6" s="33">
        <f>INDEX(Sales[Date],MATCH(Table7[[#This Row],[Sale ID]],Sales[Sale ID],0))</f>
        <v>46026</v>
      </c>
      <c r="J6" t="s">
        <v>32</v>
      </c>
      <c r="K6" t="str">
        <f>INDEX(C6:C15,MATCH($J6,B6:B15,0))</f>
        <v>Monitor</v>
      </c>
      <c r="L6" t="str">
        <f t="shared" si="0"/>
        <v>Electronics</v>
      </c>
      <c r="M6" t="str">
        <f>INDEX($E$3:$E$12,MATCH(Table7[[#This Row],[Product ID]],$B$3:$B$12,0))</f>
        <v>LG</v>
      </c>
      <c r="N6" t="s">
        <v>55</v>
      </c>
      <c r="O6" t="str">
        <f t="shared" si="1"/>
        <v>Sneha Joshi</v>
      </c>
      <c r="P6" t="str">
        <f>INDEX($C$17:$C$26,MATCH(Table7[[#This Row],[Customer ID]],$A$17:$A$26,0))</f>
        <v>Pune</v>
      </c>
      <c r="Q6" t="str">
        <f>INDEX($D$17:$D$26,MATCH(Table7[[#This Row],[Customer ID]],$A$17:$A$26,0))</f>
        <v>Maharashtra</v>
      </c>
      <c r="R6" t="str">
        <f>INDEX($E$17:$E$26,MATCH(Table7[[#This Row],[Customer ID]],$A$17:$A$26,0))</f>
        <v>Female</v>
      </c>
      <c r="S6" t="s">
        <v>89</v>
      </c>
      <c r="T6" t="str">
        <f t="shared" si="2"/>
        <v>Digital Hub</v>
      </c>
      <c r="U6" t="str">
        <f>INDEX($C$30:$C$34,MATCH(Table7[[#This Row],[Store ID]],'Advance table'!$A$30:$A$34,0))</f>
        <v>Pune</v>
      </c>
      <c r="V6">
        <v>1</v>
      </c>
      <c r="W6">
        <v>16000</v>
      </c>
      <c r="X6">
        <v>16000</v>
      </c>
    </row>
    <row r="7" spans="1:24" x14ac:dyDescent="0.25">
      <c r="B7" s="4" t="s">
        <v>19</v>
      </c>
      <c r="C7" s="5" t="s">
        <v>20</v>
      </c>
      <c r="D7" s="5" t="s">
        <v>17</v>
      </c>
      <c r="E7" s="5" t="s">
        <v>21</v>
      </c>
      <c r="H7" t="s">
        <v>101</v>
      </c>
      <c r="I7" s="33">
        <f>INDEX(Sales[Date],MATCH(Table7[[#This Row],[Sale ID]],Sales[Sale ID],0))</f>
        <v>46027</v>
      </c>
      <c r="J7" t="s">
        <v>9</v>
      </c>
      <c r="K7" t="str">
        <f>INDEX(C3:C12,MATCH($J7,B3:B12,0))</f>
        <v>Smartphone</v>
      </c>
      <c r="L7" t="str">
        <f>INDEX(D3:D12,MATCH(K7,C3:C12,0))</f>
        <v>Electronics</v>
      </c>
      <c r="M7" t="str">
        <f>INDEX($E$3:$E$12,MATCH(Table7[[#This Row],[Product ID]],$B$3:$B$12,0))</f>
        <v>Samsung</v>
      </c>
      <c r="N7" t="s">
        <v>58</v>
      </c>
      <c r="O7" t="str">
        <f t="shared" si="1"/>
        <v>Arjun Singh</v>
      </c>
      <c r="P7" t="str">
        <f>INDEX($C$17:$C$26,MATCH(Table7[[#This Row],[Customer ID]],$A$17:$A$26,0))</f>
        <v>Jaipur</v>
      </c>
      <c r="Q7" t="str">
        <f>INDEX($D$17:$D$26,MATCH(Table7[[#This Row],[Customer ID]],$A$17:$A$26,0))</f>
        <v>Rajasthan</v>
      </c>
      <c r="R7" t="str">
        <f>INDEX($E$17:$E$26,MATCH(Table7[[#This Row],[Customer ID]],$A$17:$A$26,0))</f>
        <v>Male</v>
      </c>
      <c r="S7" t="s">
        <v>91</v>
      </c>
      <c r="T7" t="str">
        <f t="shared" si="2"/>
        <v>Smart World</v>
      </c>
      <c r="U7" t="str">
        <f>INDEX($C$30:$C$34,MATCH(Table7[[#This Row],[Store ID]],'Advance table'!$A$30:$A$34,0))</f>
        <v>Jaipur</v>
      </c>
      <c r="V7">
        <v>2</v>
      </c>
      <c r="W7">
        <v>32000</v>
      </c>
      <c r="X7">
        <v>64000</v>
      </c>
    </row>
    <row r="8" spans="1:24" x14ac:dyDescent="0.25">
      <c r="B8" s="6" t="s">
        <v>22</v>
      </c>
      <c r="C8" s="7" t="s">
        <v>23</v>
      </c>
      <c r="D8" s="7" t="s">
        <v>7</v>
      </c>
      <c r="E8" s="7" t="s">
        <v>24</v>
      </c>
      <c r="H8" t="s">
        <v>102</v>
      </c>
      <c r="I8" s="33">
        <f>INDEX(Sales[Date],MATCH(Table7[[#This Row],[Sale ID]],Sales[Sale ID],0))</f>
        <v>46028</v>
      </c>
      <c r="J8" t="s">
        <v>25</v>
      </c>
      <c r="K8" t="str">
        <f>INDEX(C8:C17,MATCH($J8,B8:B17,0))</f>
        <v>Office Chair</v>
      </c>
      <c r="L8" t="str">
        <f t="shared" si="0"/>
        <v>Furniture</v>
      </c>
      <c r="M8" t="str">
        <f>INDEX($E$3:$E$12,MATCH(Table7[[#This Row],[Product ID]],$B$3:$B$12,0))</f>
        <v>Green Soul</v>
      </c>
      <c r="N8" t="s">
        <v>62</v>
      </c>
      <c r="O8" t="str">
        <f t="shared" si="1"/>
        <v>Neha Verma</v>
      </c>
      <c r="P8" t="str">
        <f>INDEX($C$17:$C$26,MATCH(Table7[[#This Row],[Customer ID]],$A$17:$A$26,0))</f>
        <v>Delhi</v>
      </c>
      <c r="Q8" t="str">
        <f>INDEX($D$17:$D$26,MATCH(Table7[[#This Row],[Customer ID]],$A$17:$A$26,0))</f>
        <v>Delhi</v>
      </c>
      <c r="R8" t="str">
        <f>INDEX($E$17:$E$26,MATCH(Table7[[#This Row],[Customer ID]],$A$17:$A$26,0))</f>
        <v>Female</v>
      </c>
      <c r="S8" t="s">
        <v>83</v>
      </c>
      <c r="T8" t="str">
        <f t="shared" si="2"/>
        <v>Alpha Store</v>
      </c>
      <c r="U8" t="str">
        <f>INDEX($C$30:$C$34,MATCH(Table7[[#This Row],[Store ID]],'Advance table'!$A$30:$A$34,0))</f>
        <v>Ahmedabad</v>
      </c>
      <c r="V8">
        <v>1</v>
      </c>
      <c r="W8">
        <v>8500</v>
      </c>
      <c r="X8">
        <v>8500</v>
      </c>
    </row>
    <row r="9" spans="1:24" x14ac:dyDescent="0.25">
      <c r="B9" s="4" t="s">
        <v>25</v>
      </c>
      <c r="C9" s="5" t="s">
        <v>26</v>
      </c>
      <c r="D9" s="5" t="s">
        <v>27</v>
      </c>
      <c r="E9" s="5" t="s">
        <v>28</v>
      </c>
      <c r="H9" t="s">
        <v>103</v>
      </c>
      <c r="I9" s="33">
        <f>INDEX(Sales[Date],MATCH(Table7[[#This Row],[Sale ID]],Sales[Sale ID],0))</f>
        <v>46029</v>
      </c>
      <c r="J9" t="s">
        <v>22</v>
      </c>
      <c r="K9" t="str">
        <f>INDEX(C3:C12,MATCH($J9,B3:B12,0))</f>
        <v>Printer</v>
      </c>
      <c r="L9" t="str">
        <f>INDEX(D3:D12,MATCH(K9,C3:C12,0))</f>
        <v>Electronics</v>
      </c>
      <c r="M9" t="str">
        <f>INDEX($E$3:$E$12,MATCH(Table7[[#This Row],[Product ID]],$B$3:$B$12,0))</f>
        <v>Canon</v>
      </c>
      <c r="N9" t="s">
        <v>65</v>
      </c>
      <c r="O9" t="str">
        <f t="shared" si="1"/>
        <v>Rohan Gupta</v>
      </c>
      <c r="P9" t="str">
        <f>INDEX($C$17:$C$26,MATCH(Table7[[#This Row],[Customer ID]],$A$17:$A$26,0))</f>
        <v>Indore</v>
      </c>
      <c r="Q9" t="str">
        <f>INDEX($D$17:$D$26,MATCH(Table7[[#This Row],[Customer ID]],$A$17:$A$26,0))</f>
        <v>Madhya Pradesh</v>
      </c>
      <c r="R9" t="str">
        <f>INDEX($E$17:$E$26,MATCH(Table7[[#This Row],[Customer ID]],$A$17:$A$26,0))</f>
        <v>Male</v>
      </c>
      <c r="S9" t="s">
        <v>85</v>
      </c>
      <c r="T9" t="str">
        <f t="shared" si="2"/>
        <v>Beta Store</v>
      </c>
      <c r="U9" t="str">
        <f>INDEX($C$30:$C$34,MATCH(Table7[[#This Row],[Store ID]],'Advance table'!$A$30:$A$34,0))</f>
        <v>Surat</v>
      </c>
      <c r="V9">
        <v>1</v>
      </c>
      <c r="W9">
        <v>12500</v>
      </c>
      <c r="X9">
        <v>12500</v>
      </c>
    </row>
    <row r="10" spans="1:24" x14ac:dyDescent="0.25">
      <c r="B10" s="6" t="s">
        <v>29</v>
      </c>
      <c r="C10" s="7" t="s">
        <v>30</v>
      </c>
      <c r="D10" s="7" t="s">
        <v>27</v>
      </c>
      <c r="E10" s="7" t="s">
        <v>31</v>
      </c>
      <c r="H10" t="s">
        <v>104</v>
      </c>
      <c r="I10" s="33">
        <f>INDEX(Sales[Date],MATCH(Table7[[#This Row],[Sale ID]],Sales[Sale ID],0))</f>
        <v>46030</v>
      </c>
      <c r="J10" t="s">
        <v>35</v>
      </c>
      <c r="K10" t="str">
        <f>INDEX(C10:C19,MATCH($J10,B10:B19,0))</f>
        <v>Webcam</v>
      </c>
      <c r="L10" t="str">
        <f t="shared" si="0"/>
        <v>Accessories</v>
      </c>
      <c r="M10" t="str">
        <f>INDEX($E$3:$E$12,MATCH(Table7[[#This Row],[Product ID]],$B$3:$B$12,0))</f>
        <v>Logitech</v>
      </c>
      <c r="N10" t="s">
        <v>69</v>
      </c>
      <c r="O10" t="str">
        <f t="shared" si="1"/>
        <v>Pooja Sharma</v>
      </c>
      <c r="P10" t="str">
        <f>INDEX($C$17:$C$26,MATCH(Table7[[#This Row],[Customer ID]],$A$17:$A$26,0))</f>
        <v>Lucknow</v>
      </c>
      <c r="Q10" t="str">
        <f>INDEX($D$17:$D$26,MATCH(Table7[[#This Row],[Customer ID]],$A$17:$A$26,0))</f>
        <v>Uttar Pradesh</v>
      </c>
      <c r="R10" t="str">
        <f>INDEX($E$17:$E$26,MATCH(Table7[[#This Row],[Customer ID]],$A$17:$A$26,0))</f>
        <v>Female</v>
      </c>
      <c r="S10" t="s">
        <v>87</v>
      </c>
      <c r="T10" t="str">
        <f t="shared" si="2"/>
        <v>Central Store</v>
      </c>
      <c r="U10" t="str">
        <f>INDEX($C$30:$C$34,MATCH(Table7[[#This Row],[Store ID]],'Advance table'!$A$30:$A$34,0))</f>
        <v>Mumbai</v>
      </c>
      <c r="V10">
        <v>2</v>
      </c>
      <c r="W10">
        <v>3500</v>
      </c>
      <c r="X10">
        <v>7000</v>
      </c>
    </row>
    <row r="11" spans="1:24" x14ac:dyDescent="0.25">
      <c r="B11" s="4" t="s">
        <v>32</v>
      </c>
      <c r="C11" s="5" t="s">
        <v>33</v>
      </c>
      <c r="D11" s="5" t="s">
        <v>7</v>
      </c>
      <c r="E11" s="5" t="s">
        <v>34</v>
      </c>
      <c r="H11" t="s">
        <v>105</v>
      </c>
      <c r="I11" s="33">
        <f>INDEX(Sales[Date],MATCH(Table7[[#This Row],[Sale ID]],Sales[Sale ID],0))</f>
        <v>46031</v>
      </c>
      <c r="J11" t="s">
        <v>15</v>
      </c>
      <c r="K11" t="str">
        <f>INDEX(C3:C12,MATCH($J11,B3:B12,0))</f>
        <v>Keyboard</v>
      </c>
      <c r="L11" t="str">
        <f>INDEX(D3:D12,MATCH(K11,C3:C12,0))</f>
        <v>Accessories</v>
      </c>
      <c r="M11" t="str">
        <f>INDEX($E$3:$E$12,MATCH(Table7[[#This Row],[Product ID]],$B$3:$B$12,0))</f>
        <v>Logitech</v>
      </c>
      <c r="N11" t="s">
        <v>73</v>
      </c>
      <c r="O11" t="str">
        <f t="shared" si="1"/>
        <v>Karan Desai</v>
      </c>
      <c r="P11" t="str">
        <f>INDEX($C$17:$C$26,MATCH(Table7[[#This Row],[Customer ID]],$A$17:$A$26,0))</f>
        <v>Vadodara</v>
      </c>
      <c r="Q11" t="str">
        <f>INDEX($D$17:$D$26,MATCH(Table7[[#This Row],[Customer ID]],$A$17:$A$26,0))</f>
        <v>Gujarat</v>
      </c>
      <c r="R11" t="str">
        <f>INDEX($E$17:$E$26,MATCH(Table7[[#This Row],[Customer ID]],$A$17:$A$26,0))</f>
        <v>Male</v>
      </c>
      <c r="S11" t="s">
        <v>89</v>
      </c>
      <c r="T11" t="str">
        <f t="shared" si="2"/>
        <v>Digital Hub</v>
      </c>
      <c r="U11" t="str">
        <f>INDEX($C$30:$C$34,MATCH(Table7[[#This Row],[Store ID]],'Advance table'!$A$30:$A$34,0))</f>
        <v>Pune</v>
      </c>
      <c r="V11">
        <v>4</v>
      </c>
      <c r="W11">
        <v>1800</v>
      </c>
      <c r="X11">
        <v>7200</v>
      </c>
    </row>
    <row r="12" spans="1:24" x14ac:dyDescent="0.25">
      <c r="B12" s="6" t="s">
        <v>35</v>
      </c>
      <c r="C12" s="7" t="s">
        <v>36</v>
      </c>
      <c r="D12" s="7" t="s">
        <v>17</v>
      </c>
      <c r="E12" s="7" t="s">
        <v>18</v>
      </c>
      <c r="H12" t="s">
        <v>106</v>
      </c>
      <c r="I12" s="33">
        <f>INDEX(Sales[Date],MATCH(Table7[[#This Row],[Sale ID]],Sales[Sale ID],0))</f>
        <v>46032</v>
      </c>
      <c r="J12" t="s">
        <v>29</v>
      </c>
      <c r="K12" t="str">
        <f>INDEX(C3:C12,MATCH($J12,B3:B12,0))</f>
        <v>Office Desk</v>
      </c>
      <c r="L12" t="str">
        <f>INDEX($D$3:$D$12,MATCH(K12,$C$3:$C$12,0))</f>
        <v>Furniture</v>
      </c>
      <c r="M12" t="str">
        <f>INDEX($E$3:$E$12,MATCH(Table7[[#This Row],[Product ID]],$B$3:$B$12,0))</f>
        <v>IKEA</v>
      </c>
      <c r="N12" t="s">
        <v>76</v>
      </c>
      <c r="O12" t="str">
        <f t="shared" si="1"/>
        <v>Anjali Nair</v>
      </c>
      <c r="P12" t="str">
        <f>INDEX($C$17:$C$26,MATCH(Table7[[#This Row],[Customer ID]],$A$17:$A$26,0))</f>
        <v>Kochi</v>
      </c>
      <c r="Q12" t="str">
        <f>INDEX($D$17:$D$26,MATCH(Table7[[#This Row],[Customer ID]],$A$17:$A$26,0))</f>
        <v>Kerala</v>
      </c>
      <c r="R12" t="str">
        <f>INDEX($E$17:$E$26,MATCH(Table7[[#This Row],[Customer ID]],$A$17:$A$26,0))</f>
        <v>Female</v>
      </c>
      <c r="S12" t="s">
        <v>91</v>
      </c>
      <c r="T12" t="str">
        <f t="shared" si="2"/>
        <v>Smart World</v>
      </c>
      <c r="U12" t="str">
        <f>INDEX($C$30:$C$34,MATCH(Table7[[#This Row],[Store ID]],'Advance table'!$A$30:$A$34,0))</f>
        <v>Jaipur</v>
      </c>
      <c r="V12">
        <v>1</v>
      </c>
      <c r="W12">
        <v>12000</v>
      </c>
      <c r="X12">
        <v>12000</v>
      </c>
    </row>
    <row r="13" spans="1:24" x14ac:dyDescent="0.25">
      <c r="H13" t="s">
        <v>107</v>
      </c>
      <c r="I13" s="33">
        <f>INDEX(Sales[Date],MATCH(Table7[[#This Row],[Sale ID]],Sales[Sale ID],0))</f>
        <v>46033</v>
      </c>
      <c r="J13" t="s">
        <v>19</v>
      </c>
      <c r="K13" t="str">
        <f>INDEX(C3:C12,MATCH($J13,B3:B12,0))</f>
        <v>Mouse</v>
      </c>
      <c r="L13" t="str">
        <f t="shared" ref="L13:L17" si="3">INDEX($D$3:$D$12,MATCH(K13,$C$3:$C$12,0))</f>
        <v>Accessories</v>
      </c>
      <c r="M13" t="str">
        <f>INDEX($E$3:$E$12,MATCH(Table7[[#This Row],[Product ID]],$B$3:$B$12,0))</f>
        <v>HP</v>
      </c>
      <c r="N13" t="s">
        <v>42</v>
      </c>
      <c r="O13" t="str">
        <f t="shared" si="1"/>
        <v>Amit Patel</v>
      </c>
      <c r="P13" t="str">
        <f>INDEX($C$17:$C$26,MATCH(Table7[[#This Row],[Customer ID]],$A$17:$A$26,0))</f>
        <v>Ahmedabad</v>
      </c>
      <c r="Q13" t="str">
        <f>INDEX($D$17:$D$26,MATCH(Table7[[#This Row],[Customer ID]],$A$17:$A$26,0))</f>
        <v>Gujarat</v>
      </c>
      <c r="R13" t="str">
        <f>INDEX($E$17:$E$26,MATCH(Table7[[#This Row],[Customer ID]],$A$17:$A$26,0))</f>
        <v>Male</v>
      </c>
      <c r="S13" t="s">
        <v>83</v>
      </c>
      <c r="T13" t="str">
        <f t="shared" si="2"/>
        <v>Alpha Store</v>
      </c>
      <c r="U13" t="str">
        <f>INDEX($C$30:$C$34,MATCH(Table7[[#This Row],[Store ID]],'Advance table'!$A$30:$A$34,0))</f>
        <v>Ahmedabad</v>
      </c>
      <c r="V13">
        <v>5</v>
      </c>
      <c r="W13">
        <v>900</v>
      </c>
      <c r="X13">
        <v>4500</v>
      </c>
    </row>
    <row r="14" spans="1:24" x14ac:dyDescent="0.25">
      <c r="H14" t="s">
        <v>108</v>
      </c>
      <c r="I14" s="33">
        <f>INDEX(Sales[Date],MATCH(Table7[[#This Row],[Sale ID]],Sales[Sale ID],0))</f>
        <v>46034</v>
      </c>
      <c r="J14" t="s">
        <v>12</v>
      </c>
      <c r="K14" t="str">
        <f>INDEX(C3:C12,MATCH($J14,B3:B12,0))</f>
        <v>Headphones</v>
      </c>
      <c r="L14" t="str">
        <f t="shared" si="3"/>
        <v>Electronics</v>
      </c>
      <c r="M14" t="str">
        <f>INDEX($E$3:$E$12,MATCH(Table7[[#This Row],[Product ID]],$B$3:$B$12,0))</f>
        <v>Sony</v>
      </c>
      <c r="N14" t="s">
        <v>47</v>
      </c>
      <c r="O14" t="str">
        <f t="shared" si="1"/>
        <v>Priya Shah</v>
      </c>
      <c r="P14" t="str">
        <f>INDEX($C$17:$C$26,MATCH(Table7[[#This Row],[Customer ID]],$A$17:$A$26,0))</f>
        <v>Surat</v>
      </c>
      <c r="Q14" t="str">
        <f>INDEX($D$17:$D$26,MATCH(Table7[[#This Row],[Customer ID]],$A$17:$A$26,0))</f>
        <v>Gujarat</v>
      </c>
      <c r="R14" t="str">
        <f>INDEX($E$17:$E$26,MATCH(Table7[[#This Row],[Customer ID]],$A$17:$A$26,0))</f>
        <v>Female</v>
      </c>
      <c r="S14" t="s">
        <v>85</v>
      </c>
      <c r="T14" t="str">
        <f t="shared" si="2"/>
        <v>Beta Store</v>
      </c>
      <c r="U14" t="str">
        <f>INDEX($C$30:$C$34,MATCH(Table7[[#This Row],[Store ID]],'Advance table'!$A$30:$A$34,0))</f>
        <v>Surat</v>
      </c>
      <c r="V14">
        <v>3</v>
      </c>
      <c r="W14">
        <v>4500</v>
      </c>
      <c r="X14">
        <v>13500</v>
      </c>
    </row>
    <row r="15" spans="1:24" x14ac:dyDescent="0.25">
      <c r="H15" t="s">
        <v>109</v>
      </c>
      <c r="I15" s="33">
        <f>INDEX(Sales[Date],MATCH(Table7[[#This Row],[Sale ID]],Sales[Sale ID],0))</f>
        <v>46035</v>
      </c>
      <c r="J15" t="s">
        <v>5</v>
      </c>
      <c r="K15" t="str">
        <f>INDEX(C3:C12,MATCH($J15,B3:B12,0))</f>
        <v>Laptop</v>
      </c>
      <c r="L15" t="str">
        <f t="shared" si="3"/>
        <v>Electronics</v>
      </c>
      <c r="M15" t="str">
        <f>INDEX($E$3:$E$12,MATCH(Table7[[#This Row],[Product ID]],$B$3:$B$12,0))</f>
        <v>Dell</v>
      </c>
      <c r="N15" t="s">
        <v>51</v>
      </c>
      <c r="O15" t="str">
        <f t="shared" si="1"/>
        <v>Rahul Mehta</v>
      </c>
      <c r="P15" t="str">
        <f>INDEX($C$17:$C$26,MATCH(Table7[[#This Row],[Customer ID]],$A$17:$A$26,0))</f>
        <v>Mumbai</v>
      </c>
      <c r="Q15" t="str">
        <f>INDEX($D$17:$D$26,MATCH(Table7[[#This Row],[Customer ID]],$A$17:$A$26,0))</f>
        <v>Maharashtra</v>
      </c>
      <c r="R15" t="str">
        <f>INDEX($E$17:$E$26,MATCH(Table7[[#This Row],[Customer ID]],$A$17:$A$26,0))</f>
        <v>Male</v>
      </c>
      <c r="S15" t="s">
        <v>87</v>
      </c>
      <c r="T15" t="str">
        <f t="shared" si="2"/>
        <v>Central Store</v>
      </c>
      <c r="U15" t="str">
        <f>INDEX($C$30:$C$34,MATCH(Table7[[#This Row],[Store ID]],'Advance table'!$A$30:$A$34,0))</f>
        <v>Mumbai</v>
      </c>
      <c r="V15">
        <v>1</v>
      </c>
      <c r="W15">
        <v>55000</v>
      </c>
      <c r="X15">
        <v>55000</v>
      </c>
    </row>
    <row r="16" spans="1:24" x14ac:dyDescent="0.25">
      <c r="A16" s="21" t="s">
        <v>80</v>
      </c>
      <c r="B16" s="21" t="s">
        <v>38</v>
      </c>
      <c r="C16" s="21" t="s">
        <v>39</v>
      </c>
      <c r="D16" s="21" t="s">
        <v>40</v>
      </c>
      <c r="E16" s="21" t="s">
        <v>41</v>
      </c>
      <c r="H16" t="s">
        <v>110</v>
      </c>
      <c r="I16" s="33">
        <f>INDEX(Sales[Date],MATCH(Table7[[#This Row],[Sale ID]],Sales[Sale ID],0))</f>
        <v>46036</v>
      </c>
      <c r="J16" t="s">
        <v>32</v>
      </c>
      <c r="K16" t="str">
        <f>INDEX(C3:C12,MATCH($J16,B3:B12,0))</f>
        <v>Monitor</v>
      </c>
      <c r="L16" t="str">
        <f t="shared" si="3"/>
        <v>Electronics</v>
      </c>
      <c r="M16" t="str">
        <f>INDEX($E$3:$E$12,MATCH(Table7[[#This Row],[Product ID]],$B$3:$B$12,0))</f>
        <v>LG</v>
      </c>
      <c r="N16" t="s">
        <v>55</v>
      </c>
      <c r="O16" t="str">
        <f t="shared" si="1"/>
        <v>Sneha Joshi</v>
      </c>
      <c r="P16" t="str">
        <f>INDEX($C$17:$C$26,MATCH(Table7[[#This Row],[Customer ID]],$A$17:$A$26,0))</f>
        <v>Pune</v>
      </c>
      <c r="Q16" t="str">
        <f>INDEX($D$17:$D$26,MATCH(Table7[[#This Row],[Customer ID]],$A$17:$A$26,0))</f>
        <v>Maharashtra</v>
      </c>
      <c r="R16" t="str">
        <f>INDEX($E$17:$E$26,MATCH(Table7[[#This Row],[Customer ID]],$A$17:$A$26,0))</f>
        <v>Female</v>
      </c>
      <c r="S16" t="s">
        <v>89</v>
      </c>
      <c r="T16" t="str">
        <f t="shared" si="2"/>
        <v>Digital Hub</v>
      </c>
      <c r="U16" t="str">
        <f>INDEX($C$30:$C$34,MATCH(Table7[[#This Row],[Store ID]],'Advance table'!$A$30:$A$34,0))</f>
        <v>Pune</v>
      </c>
      <c r="V16">
        <v>2</v>
      </c>
      <c r="W16">
        <v>16000</v>
      </c>
      <c r="X16">
        <v>32000</v>
      </c>
    </row>
    <row r="17" spans="1:24" x14ac:dyDescent="0.25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H17" t="s">
        <v>111</v>
      </c>
      <c r="I17" s="33">
        <f>INDEX(Sales[Date],MATCH(Table7[[#This Row],[Sale ID]],Sales[Sale ID],0))</f>
        <v>46037</v>
      </c>
      <c r="J17" t="s">
        <v>9</v>
      </c>
      <c r="K17" t="str">
        <f>INDEX(C3:C12,MATCH($J17,B3:B12,0))</f>
        <v>Smartphone</v>
      </c>
      <c r="L17" t="str">
        <f t="shared" si="3"/>
        <v>Electronics</v>
      </c>
      <c r="M17" t="str">
        <f>INDEX($E$3:$E$12,MATCH(Table7[[#This Row],[Product ID]],$B$3:$B$12,0))</f>
        <v>Samsung</v>
      </c>
      <c r="N17" t="s">
        <v>58</v>
      </c>
      <c r="O17" t="str">
        <f t="shared" si="1"/>
        <v>Arjun Singh</v>
      </c>
      <c r="P17" t="str">
        <f>INDEX($C$17:$C$26,MATCH(Table7[[#This Row],[Customer ID]],$A$17:$A$26,0))</f>
        <v>Jaipur</v>
      </c>
      <c r="Q17" t="str">
        <f>INDEX($D$17:$D$26,MATCH(Table7[[#This Row],[Customer ID]],$A$17:$A$26,0))</f>
        <v>Rajasthan</v>
      </c>
      <c r="R17" t="str">
        <f>INDEX($E$17:$E$26,MATCH(Table7[[#This Row],[Customer ID]],$A$17:$A$26,0))</f>
        <v>Male</v>
      </c>
      <c r="S17" t="s">
        <v>91</v>
      </c>
      <c r="T17" t="str">
        <f t="shared" si="2"/>
        <v>Smart World</v>
      </c>
      <c r="U17" t="str">
        <f>INDEX($C$30:$C$34,MATCH(Table7[[#This Row],[Store ID]],'Advance table'!$A$30:$A$34,0))</f>
        <v>Jaipur</v>
      </c>
      <c r="V17">
        <v>1</v>
      </c>
      <c r="W17">
        <v>32000</v>
      </c>
      <c r="X17">
        <v>32000</v>
      </c>
    </row>
    <row r="18" spans="1:24" x14ac:dyDescent="0.25">
      <c r="A18" t="s">
        <v>47</v>
      </c>
      <c r="B18" t="s">
        <v>48</v>
      </c>
      <c r="C18" t="s">
        <v>49</v>
      </c>
      <c r="D18" t="s">
        <v>45</v>
      </c>
      <c r="E18" t="s">
        <v>50</v>
      </c>
    </row>
    <row r="19" spans="1:24" x14ac:dyDescent="0.25">
      <c r="A19" t="s">
        <v>51</v>
      </c>
      <c r="B19" t="s">
        <v>52</v>
      </c>
      <c r="C19" t="s">
        <v>53</v>
      </c>
      <c r="D19" t="s">
        <v>54</v>
      </c>
      <c r="E19" t="s">
        <v>46</v>
      </c>
    </row>
    <row r="20" spans="1:24" x14ac:dyDescent="0.25">
      <c r="A20" t="s">
        <v>55</v>
      </c>
      <c r="B20" t="s">
        <v>56</v>
      </c>
      <c r="C20" t="s">
        <v>57</v>
      </c>
      <c r="D20" t="s">
        <v>54</v>
      </c>
      <c r="E20" t="s">
        <v>50</v>
      </c>
    </row>
    <row r="21" spans="1:24" x14ac:dyDescent="0.25">
      <c r="A21" t="s">
        <v>58</v>
      </c>
      <c r="B21" t="s">
        <v>59</v>
      </c>
      <c r="C21" t="s">
        <v>60</v>
      </c>
      <c r="D21" t="s">
        <v>61</v>
      </c>
      <c r="E21" t="s">
        <v>46</v>
      </c>
    </row>
    <row r="22" spans="1:24" x14ac:dyDescent="0.25">
      <c r="A22" t="s">
        <v>62</v>
      </c>
      <c r="B22" t="s">
        <v>63</v>
      </c>
      <c r="C22" t="s">
        <v>64</v>
      </c>
      <c r="D22" t="s">
        <v>64</v>
      </c>
      <c r="E22" t="s">
        <v>50</v>
      </c>
    </row>
    <row r="23" spans="1:24" x14ac:dyDescent="0.25">
      <c r="A23" t="s">
        <v>65</v>
      </c>
      <c r="B23" t="s">
        <v>66</v>
      </c>
      <c r="C23" t="s">
        <v>67</v>
      </c>
      <c r="D23" t="s">
        <v>68</v>
      </c>
      <c r="E23" t="s">
        <v>46</v>
      </c>
    </row>
    <row r="24" spans="1:24" x14ac:dyDescent="0.25">
      <c r="A24" t="s">
        <v>69</v>
      </c>
      <c r="B24" t="s">
        <v>70</v>
      </c>
      <c r="C24" t="s">
        <v>71</v>
      </c>
      <c r="D24" t="s">
        <v>72</v>
      </c>
      <c r="E24" t="s">
        <v>50</v>
      </c>
    </row>
    <row r="25" spans="1:24" x14ac:dyDescent="0.25">
      <c r="A25" t="s">
        <v>73</v>
      </c>
      <c r="B25" t="s">
        <v>74</v>
      </c>
      <c r="C25" t="s">
        <v>75</v>
      </c>
      <c r="D25" t="s">
        <v>45</v>
      </c>
      <c r="E25" t="s">
        <v>46</v>
      </c>
    </row>
    <row r="26" spans="1:24" x14ac:dyDescent="0.25">
      <c r="A26" t="s">
        <v>76</v>
      </c>
      <c r="B26" t="s">
        <v>77</v>
      </c>
      <c r="C26" t="s">
        <v>78</v>
      </c>
      <c r="D26" t="s">
        <v>79</v>
      </c>
      <c r="E26" t="s">
        <v>50</v>
      </c>
    </row>
    <row r="29" spans="1:24" x14ac:dyDescent="0.25">
      <c r="A29" s="22" t="s">
        <v>81</v>
      </c>
      <c r="B29" s="22" t="s">
        <v>82</v>
      </c>
      <c r="C29" s="22" t="s">
        <v>39</v>
      </c>
      <c r="D29" s="22" t="s">
        <v>40</v>
      </c>
    </row>
    <row r="30" spans="1:24" x14ac:dyDescent="0.25">
      <c r="A30" t="s">
        <v>83</v>
      </c>
      <c r="B30" t="s">
        <v>84</v>
      </c>
      <c r="C30" t="s">
        <v>44</v>
      </c>
      <c r="D30" t="s">
        <v>45</v>
      </c>
    </row>
    <row r="31" spans="1:24" x14ac:dyDescent="0.25">
      <c r="A31" t="s">
        <v>85</v>
      </c>
      <c r="B31" t="s">
        <v>86</v>
      </c>
      <c r="C31" t="s">
        <v>49</v>
      </c>
      <c r="D31" t="s">
        <v>45</v>
      </c>
    </row>
    <row r="32" spans="1:24" x14ac:dyDescent="0.25">
      <c r="A32" t="s">
        <v>87</v>
      </c>
      <c r="B32" t="s">
        <v>88</v>
      </c>
      <c r="C32" t="s">
        <v>53</v>
      </c>
      <c r="D32" t="s">
        <v>54</v>
      </c>
    </row>
    <row r="33" spans="1:4" x14ac:dyDescent="0.25">
      <c r="A33" t="s">
        <v>89</v>
      </c>
      <c r="B33" t="s">
        <v>90</v>
      </c>
      <c r="C33" t="s">
        <v>57</v>
      </c>
      <c r="D33" t="s">
        <v>54</v>
      </c>
    </row>
    <row r="34" spans="1:4" x14ac:dyDescent="0.25">
      <c r="A34" t="s">
        <v>91</v>
      </c>
      <c r="B34" t="s">
        <v>92</v>
      </c>
      <c r="C34" t="s">
        <v>60</v>
      </c>
      <c r="D34" t="s">
        <v>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048CC16-6261-4748-8DD1-CE0E0235BA8D}">
  <ds:schemaRefs/>
</ds:datastoreItem>
</file>

<file path=customXml/itemProps2.xml><?xml version="1.0" encoding="utf-8"?>
<ds:datastoreItem xmlns:ds="http://schemas.openxmlformats.org/officeDocument/2006/customXml" ds:itemID="{2ABB297E-AF02-400F-AB81-6B9C382936C2}">
  <ds:schemaRefs/>
</ds:datastoreItem>
</file>

<file path=customXml/itemProps3.xml><?xml version="1.0" encoding="utf-8"?>
<ds:datastoreItem xmlns:ds="http://schemas.openxmlformats.org/officeDocument/2006/customXml" ds:itemID="{D68AE22E-7DBB-465F-B66E-F7A6E90398AC}">
  <ds:schemaRefs/>
</ds:datastoreItem>
</file>

<file path=customXml/itemProps4.xml><?xml version="1.0" encoding="utf-8"?>
<ds:datastoreItem xmlns:ds="http://schemas.openxmlformats.org/officeDocument/2006/customXml" ds:itemID="{E666A738-77DA-4280-835B-CAFE6CD77BFE}">
  <ds:schemaRefs/>
</ds:datastoreItem>
</file>

<file path=customXml/itemProps5.xml><?xml version="1.0" encoding="utf-8"?>
<ds:datastoreItem xmlns:ds="http://schemas.openxmlformats.org/officeDocument/2006/customXml" ds:itemID="{4BD329E4-8809-4D11-B606-2086E7D9AB5A}">
  <ds:schemaRefs/>
</ds:datastoreItem>
</file>

<file path=customXml/itemProps6.xml><?xml version="1.0" encoding="utf-8"?>
<ds:datastoreItem xmlns:ds="http://schemas.openxmlformats.org/officeDocument/2006/customXml" ds:itemID="{470152B6-D251-4AC7-B780-BEC49642623A}">
  <ds:schemaRefs/>
</ds:datastoreItem>
</file>

<file path=customXml/itemProps7.xml><?xml version="1.0" encoding="utf-8"?>
<ds:datastoreItem xmlns:ds="http://schemas.openxmlformats.org/officeDocument/2006/customXml" ds:itemID="{C85C70A2-6E7E-473C-8377-43EE9B5E05EC}">
  <ds:schemaRefs/>
</ds:datastoreItem>
</file>

<file path=customXml/itemProps8.xml><?xml version="1.0" encoding="utf-8"?>
<ds:datastoreItem xmlns:ds="http://schemas.openxmlformats.org/officeDocument/2006/customXml" ds:itemID="{1B9566AE-7165-402C-B746-51030F6D776C}">
  <ds:schemaRefs/>
</ds:datastoreItem>
</file>

<file path=customXml/itemProps9.xml><?xml version="1.0" encoding="utf-8"?>
<ds:datastoreItem xmlns:ds="http://schemas.openxmlformats.org/officeDocument/2006/customXml" ds:itemID="{98942687-E477-4DFC-9658-8C96CFA2ED82}">
  <ds:schemaRefs/>
</ds:datastoreItem>
</file>

<file path=customXml/itemProps10.xml><?xml version="1.0" encoding="utf-8"?>
<ds:datastoreItem xmlns:ds="http://schemas.openxmlformats.org/officeDocument/2006/customXml" ds:itemID="{0A6563BA-F876-4B33-9188-737F9FB2DEC1}">
  <ds:schemaRefs/>
</ds:datastoreItem>
</file>

<file path=customXml/itemProps11.xml><?xml version="1.0" encoding="utf-8"?>
<ds:datastoreItem xmlns:ds="http://schemas.openxmlformats.org/officeDocument/2006/customXml" ds:itemID="{26AEF6B5-1621-4A41-AA52-0D260ED32ABF}">
  <ds:schemaRefs/>
</ds:datastoreItem>
</file>

<file path=customXml/itemProps12.xml><?xml version="1.0" encoding="utf-8"?>
<ds:datastoreItem xmlns:ds="http://schemas.openxmlformats.org/officeDocument/2006/customXml" ds:itemID="{21924952-B08E-4608-B8EB-BB33659AECB5}">
  <ds:schemaRefs/>
</ds:datastoreItem>
</file>

<file path=customXml/itemProps13.xml><?xml version="1.0" encoding="utf-8"?>
<ds:datastoreItem xmlns:ds="http://schemas.openxmlformats.org/officeDocument/2006/customXml" ds:itemID="{EB4ED7D4-1684-4258-9138-98A76B31AF83}">
  <ds:schemaRefs/>
</ds:datastoreItem>
</file>

<file path=customXml/itemProps14.xml><?xml version="1.0" encoding="utf-8"?>
<ds:datastoreItem xmlns:ds="http://schemas.openxmlformats.org/officeDocument/2006/customXml" ds:itemID="{0F7BA439-C43F-4D5B-9ED1-AC415091DA83}">
  <ds:schemaRefs/>
</ds:datastoreItem>
</file>

<file path=customXml/itemProps15.xml><?xml version="1.0" encoding="utf-8"?>
<ds:datastoreItem xmlns:ds="http://schemas.openxmlformats.org/officeDocument/2006/customXml" ds:itemID="{836D2854-D6D0-442F-82E0-50C21E7C60D2}">
  <ds:schemaRefs/>
</ds:datastoreItem>
</file>

<file path=customXml/itemProps16.xml><?xml version="1.0" encoding="utf-8"?>
<ds:datastoreItem xmlns:ds="http://schemas.openxmlformats.org/officeDocument/2006/customXml" ds:itemID="{55BFA0AD-71C7-4EA0-8783-A50F1710264A}">
  <ds:schemaRefs/>
</ds:datastoreItem>
</file>

<file path=customXml/itemProps17.xml><?xml version="1.0" encoding="utf-8"?>
<ds:datastoreItem xmlns:ds="http://schemas.openxmlformats.org/officeDocument/2006/customXml" ds:itemID="{77C92EB3-C7D5-428B-92BB-59C3A9E68F4A}">
  <ds:schemaRefs/>
</ds:datastoreItem>
</file>

<file path=customXml/itemProps18.xml><?xml version="1.0" encoding="utf-8"?>
<ds:datastoreItem xmlns:ds="http://schemas.openxmlformats.org/officeDocument/2006/customXml" ds:itemID="{F09634F0-21BE-4625-9F55-6CBF6FA213CB}">
  <ds:schemaRefs/>
</ds:datastoreItem>
</file>

<file path=customXml/itemProps19.xml><?xml version="1.0" encoding="utf-8"?>
<ds:datastoreItem xmlns:ds="http://schemas.openxmlformats.org/officeDocument/2006/customXml" ds:itemID="{5857DFC7-7AC4-46DD-AF5F-67CD0A2169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Customers</vt:lpstr>
      <vt:lpstr>Stores</vt:lpstr>
      <vt:lpstr>Sales</vt:lpstr>
      <vt:lpstr>Index-Match</vt:lpstr>
      <vt:lpstr>Task-20 invoice</vt:lpstr>
      <vt:lpstr>Advance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sathavara nikita</dc:creator>
  <cp:lastModifiedBy>sathavara nikita</cp:lastModifiedBy>
  <dcterms:created xsi:type="dcterms:W3CDTF">2026-07-28T01:46:48Z</dcterms:created>
  <dcterms:modified xsi:type="dcterms:W3CDTF">2026-08-02T15:09:43Z</dcterms:modified>
</cp:coreProperties>
</file>