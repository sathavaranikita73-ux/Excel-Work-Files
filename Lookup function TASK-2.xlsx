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esktop\NIKITA\ADANI WORK FILES ALL\Excel\"/>
    </mc:Choice>
  </mc:AlternateContent>
  <xr:revisionPtr revIDLastSave="0" documentId="13_ncr:1_{4CE806B1-35DD-4D1F-AB1C-F17A5BE18B4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Qus Sheet" sheetId="2" r:id="rId1"/>
    <sheet name="Ans she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8" i="1" l="1"/>
  <c r="O34" i="1"/>
  <c r="K34" i="1"/>
  <c r="O30" i="1"/>
  <c r="K30" i="1"/>
  <c r="O25" i="1"/>
  <c r="K25" i="1"/>
  <c r="K24" i="1"/>
  <c r="O20" i="1"/>
  <c r="K20" i="1"/>
  <c r="O12" i="1"/>
  <c r="O8" i="1"/>
  <c r="O4" i="1"/>
  <c r="K12" i="1"/>
  <c r="K8" i="1"/>
  <c r="K4" i="1"/>
</calcChain>
</file>

<file path=xl/sharedStrings.xml><?xml version="1.0" encoding="utf-8"?>
<sst xmlns="http://schemas.openxmlformats.org/spreadsheetml/2006/main" count="129" uniqueCount="74">
  <si>
    <t>TASK-1</t>
  </si>
  <si>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</si>
  <si>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</si>
  <si>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</si>
  <si>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</si>
  <si>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</si>
  <si>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</si>
  <si>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</si>
  <si>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</si>
  <si>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</si>
  <si>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</si>
  <si>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</si>
  <si>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</si>
  <si>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</si>
  <si>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</si>
  <si>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</si>
  <si>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</si>
  <si>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</si>
  <si>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</si>
  <si>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</si>
  <si>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</si>
  <si>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</si>
  <si>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</si>
  <si>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</si>
  <si>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</si>
  <si>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</si>
  <si>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</si>
  <si>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</si>
  <si>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</si>
  <si>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</si>
  <si>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</si>
  <si>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</si>
  <si>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</si>
  <si>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</si>
  <si>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VLOOKUP TASK</t>
  </si>
  <si>
    <t>TASK-2</t>
  </si>
  <si>
    <t>TASK-3</t>
  </si>
  <si>
    <t>TASK-4</t>
  </si>
  <si>
    <t>TASK-5</t>
  </si>
  <si>
    <t>E109</t>
  </si>
  <si>
    <t>RESULT</t>
  </si>
  <si>
    <t>TASK-6</t>
  </si>
  <si>
    <t>Bonus %</t>
  </si>
  <si>
    <t>HLOOKUP TASK</t>
  </si>
  <si>
    <t>TASK-7</t>
  </si>
  <si>
    <t>TASK-8</t>
  </si>
  <si>
    <t>TASK-9</t>
  </si>
  <si>
    <t>Bonus Amount</t>
  </si>
  <si>
    <t>TASK-10</t>
  </si>
  <si>
    <t>ADMIN</t>
  </si>
  <si>
    <t>XLOOKUP TASK</t>
  </si>
  <si>
    <t>TASK-11</t>
  </si>
  <si>
    <t>TASK-12</t>
  </si>
  <si>
    <t>NAME</t>
  </si>
  <si>
    <t>TASK-13</t>
  </si>
  <si>
    <t>TASK-14</t>
  </si>
  <si>
    <t>E999</t>
  </si>
  <si>
    <t>TASK-15</t>
  </si>
  <si>
    <r>
      <t>1. Find the </t>
    </r>
    <r>
      <rPr>
        <sz val="12"/>
        <color rgb="FF1F2328"/>
        <rFont val="Segoe UI"/>
        <family val="2"/>
      </rPr>
      <t>Name</t>
    </r>
    <r>
      <rPr>
        <sz val="12"/>
        <color rgb="FF1F2328"/>
        <rFont val="Segoe UI"/>
        <family val="2"/>
      </rPr>
      <t> of employee 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from </t>
    </r>
    <r>
      <rPr>
        <sz val="10"/>
        <color rgb="FF1F2328"/>
        <rFont val="Consolas"/>
        <family val="3"/>
      </rPr>
      <t>Search_Input</t>
    </r>
    <r>
      <rPr>
        <sz val="12"/>
        <color rgb="FF1F2328"/>
        <rFont val="Segoe UI"/>
        <family val="2"/>
      </rPr>
      <t>.</t>
    </r>
  </si>
  <si>
    <r>
      <t>2. Find the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of employee with ID </t>
    </r>
    <r>
      <rPr>
        <sz val="12"/>
        <color rgb="FF1F2328"/>
        <rFont val="Segoe UI"/>
        <family val="2"/>
      </rPr>
      <t>E103</t>
    </r>
    <r>
      <rPr>
        <sz val="12"/>
        <color rgb="FF1F2328"/>
        <rFont val="Segoe UI"/>
        <family val="2"/>
      </rPr>
      <t>.</t>
    </r>
  </si>
  <si>
    <r>
      <t>3. Find the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Neha Singh</t>
    </r>
    <r>
      <rPr>
        <sz val="12"/>
        <color rgb="FF1F2328"/>
        <rFont val="Segoe UI"/>
        <family val="2"/>
      </rPr>
      <t> using VLOOKUP.</t>
    </r>
  </si>
  <si>
    <r>
      <t>4. Get the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E107</t>
    </r>
    <r>
      <rPr>
        <sz val="12"/>
        <color rgb="FF1F2328"/>
        <rFont val="Segoe UI"/>
        <family val="2"/>
      </rPr>
      <t>.</t>
    </r>
  </si>
  <si>
    <r>
      <t>5. If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 is not found, display </t>
    </r>
    <r>
      <rPr>
        <sz val="12"/>
        <color rgb="FF1F2328"/>
        <rFont val="Segoe UI"/>
        <family val="2"/>
      </rPr>
      <t>"Not Found"</t>
    </r>
    <r>
      <rPr>
        <sz val="12"/>
        <color rgb="FF1F2328"/>
        <rFont val="Segoe UI"/>
        <family val="2"/>
      </rPr>
      <t>.</t>
    </r>
  </si>
  <si>
    <r>
      <t>6. Find the </t>
    </r>
    <r>
      <rPr>
        <sz val="12"/>
        <color rgb="FF1F2328"/>
        <rFont val="Segoe UI"/>
        <family val="2"/>
      </rPr>
      <t>JoiningYear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E101</t>
    </r>
    <r>
      <rPr>
        <sz val="12"/>
        <color rgb="FF1F2328"/>
        <rFont val="Segoe UI"/>
        <family val="2"/>
      </rPr>
      <t>.</t>
    </r>
  </si>
  <si>
    <r>
      <t>7.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IT</t>
    </r>
    <r>
      <rPr>
        <sz val="12"/>
        <color rgb="FF1F2328"/>
        <rFont val="Segoe UI"/>
        <family val="2"/>
      </rPr>
      <t> department.</t>
    </r>
  </si>
  <si>
    <r>
      <t>8. Find the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for </t>
    </r>
    <r>
      <rPr>
        <sz val="12"/>
        <color rgb="FF1F2328"/>
        <rFont val="Segoe UI"/>
        <family val="2"/>
      </rPr>
      <t>Finance</t>
    </r>
    <r>
      <rPr>
        <sz val="12"/>
        <color rgb="FF1F2328"/>
        <rFont val="Segoe UI"/>
        <family val="2"/>
      </rPr>
      <t> department.</t>
    </r>
  </si>
  <si>
    <r>
      <t>9. Calculate </t>
    </r>
    <r>
      <rPr>
        <sz val="12"/>
        <color rgb="FF1F2328"/>
        <rFont val="Segoe UI"/>
        <family val="2"/>
      </rPr>
      <t>Bonus Amount</t>
    </r>
    <r>
      <rPr>
        <sz val="12"/>
        <color rgb="FF1F2328"/>
        <rFont val="Segoe UI"/>
        <family val="2"/>
      </rPr>
      <t> for employee </t>
    </r>
    <r>
      <rPr>
        <sz val="12"/>
        <color rgb="FF1F2328"/>
        <rFont val="Segoe UI"/>
        <family val="2"/>
      </rPr>
      <t>E104</t>
    </r>
  </si>
  <si>
    <t>(Bonus Amount = Salary × Bonus %).</t>
  </si>
  <si>
    <r>
      <t>10. If department is invalid, display </t>
    </r>
    <r>
      <rPr>
        <sz val="12"/>
        <color rgb="FF1F2328"/>
        <rFont val="Segoe UI"/>
        <family val="2"/>
      </rPr>
      <t>"No Bonus Data"</t>
    </r>
    <r>
      <rPr>
        <sz val="12"/>
        <color rgb="FF1F2328"/>
        <rFont val="Segoe UI"/>
        <family val="2"/>
      </rPr>
      <t>.</t>
    </r>
  </si>
  <si>
    <r>
      <t>11. Find </t>
    </r>
    <r>
      <rPr>
        <sz val="12"/>
        <color rgb="FF1F2328"/>
        <rFont val="Segoe UI"/>
        <family val="2"/>
      </rPr>
      <t>Salary</t>
    </r>
    <r>
      <rPr>
        <sz val="12"/>
        <color rgb="FF1F2328"/>
        <rFont val="Segoe UI"/>
        <family val="2"/>
      </rPr>
      <t> using </t>
    </r>
    <r>
      <rPr>
        <sz val="10"/>
        <color rgb="FF1F2328"/>
        <rFont val="Consolas"/>
        <family val="3"/>
      </rPr>
      <t>EmployeeID</t>
    </r>
    <r>
      <rPr>
        <sz val="12"/>
        <color rgb="FF1F2328"/>
        <rFont val="Segoe UI"/>
        <family val="2"/>
      </rPr>
      <t>.</t>
    </r>
  </si>
  <si>
    <r>
      <t>12. Find </t>
    </r>
    <r>
      <rPr>
        <sz val="12"/>
        <color rgb="FF1F2328"/>
        <rFont val="Segoe UI"/>
        <family val="2"/>
      </rPr>
      <t>Department</t>
    </r>
    <r>
      <rPr>
        <sz val="12"/>
        <color rgb="FF1F2328"/>
        <rFont val="Segoe UI"/>
        <family val="2"/>
      </rPr>
      <t> using </t>
    </r>
    <r>
      <rPr>
        <sz val="12"/>
        <color rgb="FF1F2328"/>
        <rFont val="Segoe UI"/>
        <family val="2"/>
      </rPr>
      <t>Employee Name</t>
    </r>
    <r>
      <rPr>
        <sz val="12"/>
        <color rgb="FF1F2328"/>
        <rFont val="Segoe UI"/>
        <family val="2"/>
      </rPr>
      <t>.</t>
    </r>
  </si>
  <si>
    <r>
      <t>13. Fetch </t>
    </r>
    <r>
      <rPr>
        <sz val="12"/>
        <color rgb="FF1F2328"/>
        <rFont val="Segoe UI"/>
        <family val="2"/>
      </rPr>
      <t>Location</t>
    </r>
    <r>
      <rPr>
        <sz val="12"/>
        <color rgb="FF1F2328"/>
        <rFont val="Segoe UI"/>
        <family val="2"/>
      </rPr>
      <t> of employee </t>
    </r>
    <r>
      <rPr>
        <sz val="12"/>
        <color rgb="FF1F2328"/>
        <rFont val="Segoe UI"/>
        <family val="2"/>
      </rPr>
      <t>Rohit Verma</t>
    </r>
    <r>
      <rPr>
        <sz val="12"/>
        <color rgb="FF1F2328"/>
        <rFont val="Segoe UI"/>
        <family val="2"/>
      </rPr>
      <t>.</t>
    </r>
  </si>
  <si>
    <r>
      <t>14. If </t>
    </r>
    <r>
      <rPr>
        <sz val="10"/>
        <color rgb="FF1F2328"/>
        <rFont val="Consolas"/>
        <family val="3"/>
      </rPr>
      <t>EmployeeID = E999</t>
    </r>
    <r>
      <rPr>
        <sz val="12"/>
        <color rgb="FF1F2328"/>
        <rFont val="Segoe UI"/>
        <family val="2"/>
      </rPr>
      <t>, return </t>
    </r>
    <r>
      <rPr>
        <sz val="12"/>
        <color rgb="FF1F2328"/>
        <rFont val="Segoe UI"/>
        <family val="2"/>
      </rPr>
      <t>"Employee Not Found"</t>
    </r>
    <r>
      <rPr>
        <sz val="12"/>
        <color rgb="FF1F2328"/>
        <rFont val="Segoe UI"/>
        <family val="2"/>
      </rPr>
      <t>.</t>
    </r>
  </si>
  <si>
    <r>
      <t>15. Find </t>
    </r>
    <r>
      <rPr>
        <sz val="12"/>
        <color rgb="FF1F2328"/>
        <rFont val="Segoe UI"/>
        <family val="2"/>
      </rPr>
      <t>Bonus %</t>
    </r>
    <r>
      <rPr>
        <sz val="12"/>
        <color rgb="FF1F2328"/>
        <rFont val="Segoe UI"/>
        <family val="2"/>
      </rPr>
      <t> using XLOOKUP from </t>
    </r>
    <r>
      <rPr>
        <sz val="10"/>
        <color rgb="FF1F2328"/>
        <rFont val="Consolas"/>
        <family val="3"/>
      </rPr>
      <t>Department_Bonus</t>
    </r>
    <r>
      <rPr>
        <sz val="12"/>
        <color rgb="FF1F2328"/>
        <rFont val="Segoe UI"/>
        <family val="2"/>
      </rPr>
      <t> (horizontal lookup).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</si>
</sst>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0"/>
      <color rgb="FF1F2328"/>
      <name val="Segoe UI"/>
      <family val="2"/>
    </font>
    <font>
      <b/>
      <sz val="10"/>
      <color rgb="FF1F2328"/>
      <name val="Segoe UI"/>
      <family val="2"/>
    </font>
    <font>
      <b/>
      <sz val="9"/>
      <color rgb="FF1F2328"/>
      <name val="Segoe UI"/>
      <family val="2"/>
    </font>
    <font>
      <sz val="9"/>
      <color rgb="FF1F2328"/>
      <name val="Segoe UI"/>
      <family val="2"/>
    </font>
    <font>
      <sz val="10"/>
      <color rgb="FF1F2328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1F2328"/>
      <name val="Consolas"/>
      <family val="3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9" fontId="10" fillId="2" borderId="1" xfId="1" applyFont="1" applyFill="1" applyBorder="1" applyAlignment="1">
      <alignment horizontal="center" vertical="center" wrapText="1"/>
    </xf>
    <xf numFmtId="9" fontId="0" fillId="0" borderId="0" xfId="1" applyFont="1"/>
    <xf numFmtId="9" fontId="11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2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1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workbookViewId="0">
      <selection activeCell="D4" sqref="D4"/>
    </sheetView>
  </sheetViews>
  <sheetFormatPr defaultRowHeight="15" x14ac:dyDescent="0.25"/>
  <cols>
    <col min="2" max="2" width="97.140625" customWidth="1"/>
  </cols>
  <sheetData>
    <row r="2" spans="2:2" ht="17.25" x14ac:dyDescent="0.25">
      <c r="B2" s="24" t="s">
        <v>58</v>
      </c>
    </row>
    <row r="3" spans="2:2" ht="17.25" x14ac:dyDescent="0.25">
      <c r="B3" s="24" t="s">
        <v>59</v>
      </c>
    </row>
    <row r="4" spans="2:2" ht="17.25" x14ac:dyDescent="0.25">
      <c r="B4" s="24" t="s">
        <v>60</v>
      </c>
    </row>
    <row r="5" spans="2:2" ht="17.25" x14ac:dyDescent="0.25">
      <c r="B5" s="24" t="s">
        <v>61</v>
      </c>
    </row>
    <row r="6" spans="2:2" ht="17.25" x14ac:dyDescent="0.25">
      <c r="B6" s="24" t="s">
        <v>62</v>
      </c>
    </row>
    <row r="7" spans="2:2" ht="17.25" x14ac:dyDescent="0.25">
      <c r="B7" s="24" t="s">
        <v>63</v>
      </c>
    </row>
    <row r="8" spans="2:2" ht="17.25" x14ac:dyDescent="0.25">
      <c r="B8" s="23" t="s">
        <v>64</v>
      </c>
    </row>
    <row r="9" spans="2:2" ht="17.25" x14ac:dyDescent="0.25">
      <c r="B9" s="23" t="s">
        <v>65</v>
      </c>
    </row>
    <row r="10" spans="2:2" ht="17.25" x14ac:dyDescent="0.25">
      <c r="B10" s="23" t="s">
        <v>66</v>
      </c>
    </row>
    <row r="11" spans="2:2" ht="17.25" x14ac:dyDescent="0.25">
      <c r="B11" s="23" t="s">
        <v>67</v>
      </c>
    </row>
    <row r="12" spans="2:2" ht="17.25" x14ac:dyDescent="0.25">
      <c r="B12" s="23" t="s">
        <v>68</v>
      </c>
    </row>
    <row r="13" spans="2:2" ht="17.25" x14ac:dyDescent="0.25">
      <c r="B13" s="23" t="s">
        <v>69</v>
      </c>
    </row>
    <row r="14" spans="2:2" ht="17.25" x14ac:dyDescent="0.25">
      <c r="B14" s="23" t="s">
        <v>70</v>
      </c>
    </row>
    <row r="15" spans="2:2" ht="17.25" x14ac:dyDescent="0.25">
      <c r="B15" s="23" t="s">
        <v>71</v>
      </c>
    </row>
    <row r="16" spans="2:2" ht="17.25" x14ac:dyDescent="0.25">
      <c r="B16" s="23" t="s">
        <v>72</v>
      </c>
    </row>
    <row r="17" spans="2:2" ht="17.25" x14ac:dyDescent="0.25">
      <c r="B17" s="23" t="s">
        <v>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38"/>
  <sheetViews>
    <sheetView tabSelected="1" topLeftCell="A26" workbookViewId="0">
      <selection activeCell="L37" sqref="L37"/>
    </sheetView>
  </sheetViews>
  <sheetFormatPr defaultRowHeight="15" x14ac:dyDescent="0.25"/>
  <cols>
    <col min="1" max="1" width="4.5703125" customWidth="1"/>
    <col min="2" max="2" width="14.7109375" customWidth="1"/>
    <col min="3" max="3" width="15.42578125" bestFit="1" customWidth="1"/>
    <col min="4" max="4" width="14.7109375" bestFit="1" customWidth="1"/>
    <col min="5" max="5" width="14.140625" customWidth="1"/>
    <col min="6" max="6" width="9.85546875" customWidth="1"/>
    <col min="7" max="7" width="14.5703125" customWidth="1"/>
    <col min="9" max="9" width="9.140625" customWidth="1"/>
    <col min="10" max="10" width="14.7109375" bestFit="1" customWidth="1"/>
    <col min="11" max="11" width="16.140625" bestFit="1" customWidth="1"/>
    <col min="14" max="14" width="12.28515625" bestFit="1" customWidth="1"/>
    <col min="15" max="15" width="17.28515625" bestFit="1" customWidth="1"/>
  </cols>
  <sheetData>
    <row r="2" spans="2:15" x14ac:dyDescent="0.25">
      <c r="C2" s="28" t="s">
        <v>34</v>
      </c>
      <c r="D2" s="28"/>
      <c r="I2" t="s">
        <v>0</v>
      </c>
      <c r="M2" t="s">
        <v>37</v>
      </c>
    </row>
    <row r="3" spans="2:15" x14ac:dyDescent="0.25">
      <c r="J3" s="5" t="s">
        <v>1</v>
      </c>
      <c r="K3" s="5" t="s">
        <v>2</v>
      </c>
      <c r="N3" s="6" t="s">
        <v>1</v>
      </c>
      <c r="O3" s="5" t="s">
        <v>4</v>
      </c>
    </row>
    <row r="4" spans="2:15" ht="17.25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J4" s="3" t="s">
        <v>19</v>
      </c>
      <c r="K4" s="4" t="str">
        <f>VLOOKUP(J4,B5:G12,2,0)</f>
        <v>Neha Singh</v>
      </c>
      <c r="N4" s="2" t="s">
        <v>29</v>
      </c>
      <c r="O4" s="7" t="str">
        <f>VLOOKUP(N4,B5:G12,COLUMNS(B4:E4),0)</f>
        <v>Hyderabad</v>
      </c>
    </row>
    <row r="5" spans="2:15" ht="17.25" x14ac:dyDescent="0.25">
      <c r="B5" s="2" t="s">
        <v>7</v>
      </c>
      <c r="C5" s="2" t="s">
        <v>8</v>
      </c>
      <c r="D5" s="2" t="s">
        <v>9</v>
      </c>
      <c r="E5" s="2" t="s">
        <v>10</v>
      </c>
      <c r="F5" s="2">
        <v>45000</v>
      </c>
      <c r="G5" s="2">
        <v>2019</v>
      </c>
    </row>
    <row r="6" spans="2:15" ht="17.25" x14ac:dyDescent="0.25">
      <c r="B6" s="3" t="s">
        <v>11</v>
      </c>
      <c r="C6" s="3" t="s">
        <v>12</v>
      </c>
      <c r="D6" s="3" t="s">
        <v>13</v>
      </c>
      <c r="E6" s="3" t="s">
        <v>14</v>
      </c>
      <c r="F6" s="3">
        <v>52000</v>
      </c>
      <c r="G6" s="3">
        <v>2018</v>
      </c>
      <c r="I6" t="s">
        <v>35</v>
      </c>
      <c r="M6" t="s">
        <v>38</v>
      </c>
    </row>
    <row r="7" spans="2:15" ht="17.25" x14ac:dyDescent="0.25">
      <c r="B7" s="2" t="s">
        <v>15</v>
      </c>
      <c r="C7" s="2" t="s">
        <v>16</v>
      </c>
      <c r="D7" s="2" t="s">
        <v>17</v>
      </c>
      <c r="E7" s="2" t="s">
        <v>18</v>
      </c>
      <c r="F7" s="2">
        <v>65000</v>
      </c>
      <c r="G7" s="2">
        <v>2020</v>
      </c>
      <c r="J7" s="6" t="s">
        <v>1</v>
      </c>
      <c r="K7" s="6" t="s">
        <v>3</v>
      </c>
      <c r="N7" s="6" t="s">
        <v>1</v>
      </c>
      <c r="O7" s="5" t="s">
        <v>40</v>
      </c>
    </row>
    <row r="8" spans="2:15" ht="17.25" x14ac:dyDescent="0.25">
      <c r="B8" s="3" t="s">
        <v>19</v>
      </c>
      <c r="C8" s="3" t="s">
        <v>20</v>
      </c>
      <c r="D8" s="3" t="s">
        <v>21</v>
      </c>
      <c r="E8" s="3" t="s">
        <v>22</v>
      </c>
      <c r="F8" s="3">
        <v>58000</v>
      </c>
      <c r="G8" s="3">
        <v>2017</v>
      </c>
      <c r="J8" s="2" t="s">
        <v>15</v>
      </c>
      <c r="K8" s="7" t="str">
        <f>VLOOKUP(J8,B5:G12,3,0)</f>
        <v>IT</v>
      </c>
      <c r="N8" s="2" t="s">
        <v>39</v>
      </c>
      <c r="O8" s="7" t="str">
        <f>IFERROR(VLOOKUP(N8,B5:G12,2,0),"NOT FOUND")</f>
        <v>NOT FOUND</v>
      </c>
    </row>
    <row r="9" spans="2:15" ht="17.25" x14ac:dyDescent="0.25">
      <c r="B9" s="2" t="s">
        <v>23</v>
      </c>
      <c r="C9" s="2" t="s">
        <v>24</v>
      </c>
      <c r="D9" s="2" t="s">
        <v>25</v>
      </c>
      <c r="E9" s="2" t="s">
        <v>10</v>
      </c>
      <c r="F9" s="2">
        <v>48000</v>
      </c>
      <c r="G9" s="2">
        <v>2021</v>
      </c>
    </row>
    <row r="10" spans="2:15" ht="17.25" x14ac:dyDescent="0.25">
      <c r="B10" s="3" t="s">
        <v>26</v>
      </c>
      <c r="C10" s="3" t="s">
        <v>27</v>
      </c>
      <c r="D10" s="3" t="s">
        <v>17</v>
      </c>
      <c r="E10" s="3" t="s">
        <v>28</v>
      </c>
      <c r="F10" s="3">
        <v>62000</v>
      </c>
      <c r="G10" s="3">
        <v>2019</v>
      </c>
      <c r="I10" t="s">
        <v>36</v>
      </c>
      <c r="M10" t="s">
        <v>41</v>
      </c>
    </row>
    <row r="11" spans="2:15" ht="17.25" x14ac:dyDescent="0.25">
      <c r="B11" s="2" t="s">
        <v>29</v>
      </c>
      <c r="C11" s="2" t="s">
        <v>30</v>
      </c>
      <c r="D11" s="2" t="s">
        <v>9</v>
      </c>
      <c r="E11" s="2" t="s">
        <v>31</v>
      </c>
      <c r="F11" s="2">
        <v>47000</v>
      </c>
      <c r="G11" s="2">
        <v>2020</v>
      </c>
      <c r="J11" s="5" t="s">
        <v>2</v>
      </c>
      <c r="K11" s="5" t="s">
        <v>5</v>
      </c>
      <c r="N11" s="5" t="s">
        <v>1</v>
      </c>
      <c r="O11" s="5" t="s">
        <v>6</v>
      </c>
    </row>
    <row r="12" spans="2:15" ht="17.25" x14ac:dyDescent="0.25">
      <c r="B12" s="3" t="s">
        <v>32</v>
      </c>
      <c r="C12" s="3" t="s">
        <v>33</v>
      </c>
      <c r="D12" s="3" t="s">
        <v>13</v>
      </c>
      <c r="E12" s="3" t="s">
        <v>18</v>
      </c>
      <c r="F12" s="3">
        <v>54000</v>
      </c>
      <c r="G12" s="3">
        <v>2016</v>
      </c>
      <c r="J12" s="3" t="s">
        <v>20</v>
      </c>
      <c r="K12" s="8">
        <f>VLOOKUP(J12,C5:G12,COLUMNS(C4:F4),0)</f>
        <v>58000</v>
      </c>
      <c r="N12" s="8" t="s">
        <v>7</v>
      </c>
      <c r="O12" s="8">
        <f>VLOOKUP(N12,B5:G12,COLUMNS(B4:G4),FALSE)</f>
        <v>2019</v>
      </c>
    </row>
    <row r="16" spans="2:15" x14ac:dyDescent="0.25">
      <c r="C16" s="28" t="s">
        <v>43</v>
      </c>
      <c r="D16" s="28"/>
    </row>
    <row r="18" spans="2:15" x14ac:dyDescent="0.25">
      <c r="B18" s="9" t="s">
        <v>3</v>
      </c>
      <c r="C18" s="9" t="s">
        <v>9</v>
      </c>
      <c r="D18" s="9" t="s">
        <v>13</v>
      </c>
      <c r="E18" s="9" t="s">
        <v>17</v>
      </c>
      <c r="F18" s="9" t="s">
        <v>21</v>
      </c>
      <c r="G18" s="9" t="s">
        <v>25</v>
      </c>
      <c r="I18" t="s">
        <v>44</v>
      </c>
      <c r="M18" t="s">
        <v>45</v>
      </c>
    </row>
    <row r="19" spans="2:15" x14ac:dyDescent="0.25">
      <c r="B19" s="10" t="s">
        <v>42</v>
      </c>
      <c r="C19" s="11">
        <v>0.1</v>
      </c>
      <c r="D19" s="11">
        <v>0.08</v>
      </c>
      <c r="E19" s="11">
        <v>0.12</v>
      </c>
      <c r="F19" s="11">
        <v>0.15</v>
      </c>
      <c r="G19" s="11">
        <v>0.09</v>
      </c>
      <c r="J19" s="15" t="s">
        <v>3</v>
      </c>
      <c r="K19" s="15" t="s">
        <v>42</v>
      </c>
      <c r="N19" s="25" t="s">
        <v>3</v>
      </c>
      <c r="O19" s="25" t="s">
        <v>42</v>
      </c>
    </row>
    <row r="20" spans="2:15" x14ac:dyDescent="0.25">
      <c r="J20" s="9" t="s">
        <v>17</v>
      </c>
      <c r="K20" s="12">
        <f>HLOOKUP(J20,B18:G19,ROWS(B18:G19),0)</f>
        <v>0.12</v>
      </c>
      <c r="N20" s="9" t="s">
        <v>21</v>
      </c>
      <c r="O20" s="14">
        <f>HLOOKUP(N20,B18:G19,ROWS(B18:G19),0)</f>
        <v>0.15</v>
      </c>
    </row>
    <row r="22" spans="2:15" x14ac:dyDescent="0.25">
      <c r="I22" t="s">
        <v>46</v>
      </c>
      <c r="J22" s="13"/>
    </row>
    <row r="23" spans="2:15" x14ac:dyDescent="0.25">
      <c r="J23" s="5" t="s">
        <v>1</v>
      </c>
      <c r="K23" s="15" t="s">
        <v>47</v>
      </c>
      <c r="M23" t="s">
        <v>48</v>
      </c>
    </row>
    <row r="24" spans="2:15" x14ac:dyDescent="0.25">
      <c r="J24" s="16" t="s">
        <v>19</v>
      </c>
      <c r="K24" s="17">
        <f>VLOOKUP(J24,B5:G12,COLUMNS(B4:F4),0)*F19</f>
        <v>8700</v>
      </c>
      <c r="N24" s="25" t="s">
        <v>3</v>
      </c>
      <c r="O24" s="25" t="s">
        <v>42</v>
      </c>
    </row>
    <row r="25" spans="2:15" ht="24" x14ac:dyDescent="0.25">
      <c r="J25" s="16" t="s">
        <v>19</v>
      </c>
      <c r="K25" s="17">
        <f>VLOOKUP(J24,B5:G12,COLUMNS(B4:F4),0)*HLOOKUP(D8,B18:G19,ROWS(B18:G19),FALSE)</f>
        <v>8700</v>
      </c>
      <c r="N25" s="9" t="s">
        <v>49</v>
      </c>
      <c r="O25" s="18" t="str">
        <f>IFERROR(HLOOKUP(N25,B18:G19,ROWS(B18:G19),FALSE),"NO BONUS DATA")</f>
        <v>NO BONUS DATA</v>
      </c>
    </row>
    <row r="26" spans="2:15" x14ac:dyDescent="0.25">
      <c r="B26" s="28" t="s">
        <v>50</v>
      </c>
      <c r="C26" s="28"/>
    </row>
    <row r="28" spans="2:15" ht="17.25" x14ac:dyDescent="0.25">
      <c r="B28" s="19" t="s">
        <v>1</v>
      </c>
      <c r="C28" s="19" t="s">
        <v>2</v>
      </c>
      <c r="I28" t="s">
        <v>51</v>
      </c>
      <c r="M28" t="s">
        <v>52</v>
      </c>
    </row>
    <row r="29" spans="2:15" ht="17.25" x14ac:dyDescent="0.25">
      <c r="B29" s="20" t="s">
        <v>19</v>
      </c>
      <c r="C29" s="20" t="s">
        <v>16</v>
      </c>
      <c r="J29" s="26" t="s">
        <v>1</v>
      </c>
      <c r="K29" s="5" t="s">
        <v>5</v>
      </c>
      <c r="N29" s="6" t="s">
        <v>53</v>
      </c>
      <c r="O29" s="6" t="s">
        <v>3</v>
      </c>
    </row>
    <row r="30" spans="2:15" ht="28.5" x14ac:dyDescent="0.25">
      <c r="J30" s="20" t="s">
        <v>19</v>
      </c>
      <c r="K30" s="4">
        <f>_xlfn.XLOOKUP(J30,B4:B12,F4:F12)</f>
        <v>58000</v>
      </c>
      <c r="N30" s="21" t="s">
        <v>16</v>
      </c>
      <c r="O30" s="7" t="str">
        <f>_xlfn.XLOOKUP(N30,C4:C12,D4:D12)</f>
        <v>IT</v>
      </c>
    </row>
    <row r="32" spans="2:15" x14ac:dyDescent="0.25">
      <c r="I32" t="s">
        <v>54</v>
      </c>
      <c r="M32" t="s">
        <v>55</v>
      </c>
    </row>
    <row r="33" spans="9:15" x14ac:dyDescent="0.25">
      <c r="J33" s="26" t="s">
        <v>2</v>
      </c>
      <c r="K33" s="5" t="s">
        <v>4</v>
      </c>
      <c r="N33" s="26" t="s">
        <v>1</v>
      </c>
      <c r="O33" s="27" t="s">
        <v>40</v>
      </c>
    </row>
    <row r="34" spans="9:15" x14ac:dyDescent="0.25">
      <c r="J34" s="21" t="s">
        <v>16</v>
      </c>
      <c r="K34" s="7" t="str">
        <f>_xlfn.XLOOKUP(J34,C4:C12,E4:E12)</f>
        <v>Bangalore</v>
      </c>
      <c r="N34" s="22" t="s">
        <v>56</v>
      </c>
      <c r="O34" s="7" t="str">
        <f>_xlfn.XLOOKUP(N34,B4:B12,C4:C12,"Employee Not Found")</f>
        <v>Employee Not Found</v>
      </c>
    </row>
    <row r="36" spans="9:15" x14ac:dyDescent="0.25">
      <c r="I36" t="s">
        <v>57</v>
      </c>
    </row>
    <row r="37" spans="9:15" x14ac:dyDescent="0.25">
      <c r="J37" s="25" t="s">
        <v>3</v>
      </c>
      <c r="K37" s="25" t="s">
        <v>42</v>
      </c>
    </row>
    <row r="38" spans="9:15" x14ac:dyDescent="0.25">
      <c r="J38" s="9" t="s">
        <v>21</v>
      </c>
      <c r="K38" s="29">
        <f>_xlfn.XLOOKUP(J38,B18:G18,B19:G19)</f>
        <v>0.15</v>
      </c>
    </row>
  </sheetData>
  <mergeCells count="3">
    <mergeCell ref="C2:D2"/>
    <mergeCell ref="C16:D16"/>
    <mergeCell ref="B26:C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Qus Sheet</vt:lpstr>
      <vt:lpstr>Ans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sathavara nikita</cp:lastModifiedBy>
  <dcterms:created xsi:type="dcterms:W3CDTF">2026-07-03T16:25:48Z</dcterms:created>
  <dcterms:modified xsi:type="dcterms:W3CDTF">2026-08-10T11:46:35Z</dcterms:modified>
</cp:coreProperties>
</file>